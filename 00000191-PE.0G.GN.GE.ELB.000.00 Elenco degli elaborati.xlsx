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WBS" sheetId="2" r:id="rId5"/>
    <sheet name="ELB_Esecutivo" sheetId="3" r:id="rId6"/>
  </sheets>
</workbook>
</file>

<file path=xl/sharedStrings.xml><?xml version="1.0" encoding="utf-8"?>
<sst xmlns="http://schemas.openxmlformats.org/spreadsheetml/2006/main" uniqueCount="717">
  <si>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</si>
  <si>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</si>
  <si>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</si>
  <si>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</si>
  <si>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WBS</t>
  </si>
  <si>
    <t>Tabella 1</t>
  </si>
  <si>
    <r>
      <rPr>
        <u val="single"/>
        <sz val="12"/>
        <color indexed="13"/>
        <rFont val="Calibri"/>
      </rPr>
      <t>WBS</t>
    </r>
  </si>
  <si>
    <t>ELB_Esecutivo</t>
  </si>
  <si>
    <r>
      <rPr>
        <u val="single"/>
        <sz val="12"/>
        <color indexed="13"/>
        <rFont val="Calibri"/>
      </rPr>
      <t>ELB_Esecutivo</t>
    </r>
  </si>
  <si>
    <t>CODICE PROGETTO</t>
  </si>
  <si>
    <t>STATO DEL PROGETTO</t>
  </si>
  <si>
    <t>AMBITO</t>
  </si>
  <si>
    <t>EDIFICIO</t>
  </si>
  <si>
    <t>LIVELLO</t>
  </si>
  <si>
    <t>TIPO DI ELABORATO</t>
  </si>
  <si>
    <t xml:space="preserve"> 25007</t>
  </si>
  <si>
    <t>PP</t>
  </si>
  <si>
    <t>Progetto Preliminare</t>
  </si>
  <si>
    <t>0G</t>
  </si>
  <si>
    <t>Generali</t>
  </si>
  <si>
    <t>GN</t>
  </si>
  <si>
    <t>Generale</t>
  </si>
  <si>
    <t>GE</t>
  </si>
  <si>
    <t>ELB</t>
  </si>
  <si>
    <t>Elenco elaborati</t>
  </si>
  <si>
    <t>PD</t>
  </si>
  <si>
    <t>Progetto Definitivo</t>
  </si>
  <si>
    <t>1A</t>
  </si>
  <si>
    <t>Architettonici</t>
  </si>
  <si>
    <t>A</t>
  </si>
  <si>
    <t>Corpo A</t>
  </si>
  <si>
    <t>P0</t>
  </si>
  <si>
    <t>Piano Terra</t>
  </si>
  <si>
    <t>REL</t>
  </si>
  <si>
    <t>Relazione</t>
  </si>
  <si>
    <t>PE</t>
  </si>
  <si>
    <t>Progetto Esecutivo</t>
  </si>
  <si>
    <t>2S</t>
  </si>
  <si>
    <t>Strutturali</t>
  </si>
  <si>
    <t>B</t>
  </si>
  <si>
    <t>Corpo B</t>
  </si>
  <si>
    <t>P1</t>
  </si>
  <si>
    <t>Piano Primo</t>
  </si>
  <si>
    <t>CAL</t>
  </si>
  <si>
    <t>Calcoli</t>
  </si>
  <si>
    <t>IN</t>
  </si>
  <si>
    <t>Piano di indagini</t>
  </si>
  <si>
    <t>3I</t>
  </si>
  <si>
    <t>Impianti</t>
  </si>
  <si>
    <t>Z</t>
  </si>
  <si>
    <t>Colletto</t>
  </si>
  <si>
    <t>P2</t>
  </si>
  <si>
    <t>Piano Secondo</t>
  </si>
  <si>
    <t>SCH</t>
  </si>
  <si>
    <t>Schema</t>
  </si>
  <si>
    <t>4S</t>
  </si>
  <si>
    <t>Sicurezza</t>
  </si>
  <si>
    <t>C</t>
  </si>
  <si>
    <t>Corpo C</t>
  </si>
  <si>
    <t>P3</t>
  </si>
  <si>
    <t>Piano Terzo</t>
  </si>
  <si>
    <t>VAL</t>
  </si>
  <si>
    <t>Valutazioni</t>
  </si>
  <si>
    <t>7R</t>
  </si>
  <si>
    <t>Rilievo</t>
  </si>
  <si>
    <t>D</t>
  </si>
  <si>
    <t>Corpo D</t>
  </si>
  <si>
    <t>P4</t>
  </si>
  <si>
    <t>CME</t>
  </si>
  <si>
    <t>Computi Metrici</t>
  </si>
  <si>
    <t>8PI</t>
  </si>
  <si>
    <t>Prevenzione Incendi</t>
  </si>
  <si>
    <t>F</t>
  </si>
  <si>
    <t>Corpo F</t>
  </si>
  <si>
    <t>P5</t>
  </si>
  <si>
    <t>EPU</t>
  </si>
  <si>
    <t>Elenco prezzi ed Analisi</t>
  </si>
  <si>
    <t>G</t>
  </si>
  <si>
    <t>Corpo G</t>
  </si>
  <si>
    <t>P6</t>
  </si>
  <si>
    <t>ANP</t>
  </si>
  <si>
    <t>Analisi prezzi</t>
  </si>
  <si>
    <t>H</t>
  </si>
  <si>
    <t>Corpo H</t>
  </si>
  <si>
    <t>P7</t>
  </si>
  <si>
    <t>CRO</t>
  </si>
  <si>
    <t>Cronoprogramma</t>
  </si>
  <si>
    <t>BFG</t>
  </si>
  <si>
    <t>Corpi BFG</t>
  </si>
  <si>
    <t>P8</t>
  </si>
  <si>
    <t>DIS</t>
  </si>
  <si>
    <t>Disciplinare</t>
  </si>
  <si>
    <t>CDEH</t>
  </si>
  <si>
    <t>Corpi CDEH</t>
  </si>
  <si>
    <t>P9</t>
  </si>
  <si>
    <t>CSA</t>
  </si>
  <si>
    <t xml:space="preserve">Capitolato Speciale </t>
  </si>
  <si>
    <t>P10</t>
  </si>
  <si>
    <t>QTE</t>
  </si>
  <si>
    <t>Quadro tecnico economico</t>
  </si>
  <si>
    <t>P11</t>
  </si>
  <si>
    <t>PLN</t>
  </si>
  <si>
    <t>Planimetria</t>
  </si>
  <si>
    <t>P12</t>
  </si>
  <si>
    <t>PNT</t>
  </si>
  <si>
    <t>Piante</t>
  </si>
  <si>
    <t>P13</t>
  </si>
  <si>
    <t>SEZ</t>
  </si>
  <si>
    <t>Sezioni</t>
  </si>
  <si>
    <t>P14</t>
  </si>
  <si>
    <t>PRO</t>
  </si>
  <si>
    <t>Prospetti</t>
  </si>
  <si>
    <t>P15</t>
  </si>
  <si>
    <t>ABA</t>
  </si>
  <si>
    <t>Abaco</t>
  </si>
  <si>
    <t>P16</t>
  </si>
  <si>
    <t>CRP</t>
  </si>
  <si>
    <t>Carpenterie</t>
  </si>
  <si>
    <t>P17</t>
  </si>
  <si>
    <t>ARM</t>
  </si>
  <si>
    <t>Armature</t>
  </si>
  <si>
    <t>P18</t>
  </si>
  <si>
    <t>MET</t>
  </si>
  <si>
    <t xml:space="preserve"> Carpenteria Metallica</t>
  </si>
  <si>
    <t>P19</t>
  </si>
  <si>
    <t>DET</t>
  </si>
  <si>
    <t>Dettagli</t>
  </si>
  <si>
    <t>PI</t>
  </si>
  <si>
    <t>Piano Interrato</t>
  </si>
  <si>
    <t>INF</t>
  </si>
  <si>
    <t>Gestione informativa</t>
  </si>
  <si>
    <t>PR</t>
  </si>
  <si>
    <t>Piano rialzato</t>
  </si>
  <si>
    <t>CAP</t>
  </si>
  <si>
    <t>PC</t>
  </si>
  <si>
    <t>Copertura</t>
  </si>
  <si>
    <t>SCC</t>
  </si>
  <si>
    <t>Schema di contratto</t>
  </si>
  <si>
    <t>TIP</t>
  </si>
  <si>
    <t>Tipologico</t>
  </si>
  <si>
    <t>25007_EX ARLECCHINO SITO IN PIAZZA CASTRUCCIO CASTRACANI A LIDO DI CAMAIORE_</t>
  </si>
  <si>
    <t>Relazione/Tavola</t>
  </si>
  <si>
    <t>Copertina/Cartiglio</t>
  </si>
  <si>
    <t>Ultima verifica</t>
  </si>
  <si>
    <t>Consegnato</t>
  </si>
  <si>
    <t>Note</t>
  </si>
  <si>
    <t>TW1923</t>
  </si>
  <si>
    <t>Disciplina</t>
  </si>
  <si>
    <t>Progetto</t>
  </si>
  <si>
    <t>Fase</t>
  </si>
  <si>
    <t>Disc.</t>
  </si>
  <si>
    <t>Edificio</t>
  </si>
  <si>
    <t>Liv.</t>
  </si>
  <si>
    <t>Tipo</t>
  </si>
  <si>
    <t>Prog.</t>
  </si>
  <si>
    <t>Rev</t>
  </si>
  <si>
    <t>Codice Elaborato</t>
  </si>
  <si>
    <t>Titolo Elaborato</t>
  </si>
  <si>
    <t>Scala</t>
  </si>
  <si>
    <t>Data consegna/revisione</t>
  </si>
  <si>
    <t>ELABORATI GENERALI</t>
  </si>
  <si>
    <t>25007</t>
  </si>
  <si>
    <t>000</t>
  </si>
  <si>
    <t>00</t>
  </si>
  <si>
    <r>
      <rPr>
        <b val="1"/>
        <sz val="12"/>
        <color indexed="8"/>
        <rFont val="Barlow"/>
      </rPr>
      <t>PE.0G.GN.GE.ELB.000.00</t>
    </r>
  </si>
  <si>
    <t>Elenco degli elaborati</t>
  </si>
  <si>
    <t>-</t>
  </si>
  <si>
    <t>001</t>
  </si>
  <si>
    <r>
      <rPr>
        <b val="1"/>
        <sz val="12"/>
        <color indexed="8"/>
        <rFont val="Barlow"/>
      </rPr>
      <t>PE.0G.GN.GE.REL.001.00</t>
    </r>
  </si>
  <si>
    <t>Relazione generale</t>
  </si>
  <si>
    <t>002</t>
  </si>
  <si>
    <r>
      <rPr>
        <b val="1"/>
        <sz val="12"/>
        <color indexed="8"/>
        <rFont val="Barlow"/>
      </rPr>
      <t>PE.0G.GN.GE.REL.002.00</t>
    </r>
  </si>
  <si>
    <t xml:space="preserve">Relazione sui Criteri Ambientali Minimi (CAM) </t>
  </si>
  <si>
    <t>003</t>
  </si>
  <si>
    <r>
      <rPr>
        <b val="1"/>
        <sz val="12"/>
        <color indexed="8"/>
        <rFont val="Barlow"/>
      </rPr>
      <t>PE.0G.GN.GE.ELB.003.00</t>
    </r>
  </si>
  <si>
    <t>Allegati CAM</t>
  </si>
  <si>
    <t>004</t>
  </si>
  <si>
    <r>
      <rPr>
        <b val="1"/>
        <sz val="12"/>
        <color indexed="8"/>
        <rFont val="Barlow"/>
      </rPr>
      <t>PE.0G.GN.GE.REL.004.00</t>
    </r>
  </si>
  <si>
    <t>Relazione specialistica DNSH</t>
  </si>
  <si>
    <t>005</t>
  </si>
  <si>
    <r>
      <rPr>
        <b val="1"/>
        <sz val="12"/>
        <color indexed="8"/>
        <rFont val="Barlow"/>
      </rPr>
      <t>PE.0G.GN.GE.REL.005.00</t>
    </r>
  </si>
  <si>
    <t>Relazione sulla gestione delle materie e rocce da scavo</t>
  </si>
  <si>
    <t>006</t>
  </si>
  <si>
    <r>
      <rPr>
        <b val="1"/>
        <sz val="12"/>
        <color indexed="8"/>
        <rFont val="Barlow"/>
      </rPr>
      <t>PE.0G.GN.GE.REL.006.00</t>
    </r>
  </si>
  <si>
    <t>Relazione sulla prevenzione incendi</t>
  </si>
  <si>
    <t>007</t>
  </si>
  <si>
    <r>
      <rPr>
        <b val="1"/>
        <sz val="12"/>
        <color indexed="8"/>
        <rFont val="Barlow"/>
      </rPr>
      <t>PE.0G.GN.GE.REL.007.00</t>
    </r>
  </si>
  <si>
    <t>Relazione requisiti acustici passivi</t>
  </si>
  <si>
    <t>008</t>
  </si>
  <si>
    <r>
      <rPr>
        <b val="1"/>
        <sz val="12"/>
        <color indexed="8"/>
        <rFont val="Barlow"/>
      </rPr>
      <t>PE.0G.GN.GE.REL.008.00</t>
    </r>
  </si>
  <si>
    <t>Relazione geologica</t>
  </si>
  <si>
    <t>009</t>
  </si>
  <si>
    <r>
      <rPr>
        <b val="1"/>
        <sz val="12"/>
        <color indexed="8"/>
        <rFont val="Barlow"/>
      </rPr>
      <t>PE.0G.GN.GE.ELB.009.00</t>
    </r>
  </si>
  <si>
    <t>Piano di manutenzione</t>
  </si>
  <si>
    <t>010</t>
  </si>
  <si>
    <r>
      <rPr>
        <b val="1"/>
        <sz val="12"/>
        <color indexed="8"/>
        <rFont val="Barlow"/>
      </rPr>
      <t>PE.0G.GN.GE.CRO.010.00</t>
    </r>
  </si>
  <si>
    <t>Cronoprogramma dei lavori</t>
  </si>
  <si>
    <t>011</t>
  </si>
  <si>
    <r>
      <rPr>
        <b val="1"/>
        <sz val="12"/>
        <color indexed="8"/>
        <rFont val="Barlow"/>
      </rPr>
      <t>PE.0G.GN.GE.QTE.011.00</t>
    </r>
  </si>
  <si>
    <t>012</t>
  </si>
  <si>
    <r>
      <rPr>
        <b val="1"/>
        <sz val="12"/>
        <color indexed="8"/>
        <rFont val="Barlow"/>
      </rPr>
      <t>PE.0G.GN.GE.CME.012.00</t>
    </r>
  </si>
  <si>
    <t>Quadro di incidenza della manodopera</t>
  </si>
  <si>
    <t>013</t>
  </si>
  <si>
    <r>
      <rPr>
        <b val="1"/>
        <sz val="12"/>
        <color indexed="8"/>
        <rFont val="Barlow"/>
      </rPr>
      <t>PE.0G.GN.GE.CME.013.00</t>
    </r>
  </si>
  <si>
    <t>Computo metrico estimativo</t>
  </si>
  <si>
    <t>014</t>
  </si>
  <si>
    <r>
      <rPr>
        <b val="1"/>
        <sz val="12"/>
        <color indexed="8"/>
        <rFont val="Barlow"/>
      </rPr>
      <t>PE.0G.GN.GE.EPU.014.00</t>
    </r>
  </si>
  <si>
    <t xml:space="preserve">Elenco ed analisi prezzi unitari </t>
  </si>
  <si>
    <t>015</t>
  </si>
  <si>
    <r>
      <rPr>
        <b val="1"/>
        <sz val="12"/>
        <color indexed="8"/>
        <rFont val="Barlow"/>
      </rPr>
      <t>PE.0G.GN.GE.EPU.015.00</t>
    </r>
  </si>
  <si>
    <t>Elenco prezzi unitari_Oneri della sicurezza</t>
  </si>
  <si>
    <t>016</t>
  </si>
  <si>
    <r>
      <rPr>
        <b val="1"/>
        <sz val="12"/>
        <color indexed="8"/>
        <rFont val="Barlow"/>
      </rPr>
      <t>PE.0G.GN.GE.CME.016.00</t>
    </r>
  </si>
  <si>
    <t>Computo metrico estimativo_Oneri della sicurezza</t>
  </si>
  <si>
    <t>017</t>
  </si>
  <si>
    <r>
      <rPr>
        <b val="1"/>
        <sz val="12"/>
        <color indexed="8"/>
        <rFont val="Barlow"/>
      </rPr>
      <t>PE.0G.GN.GE.CME.017.00</t>
    </r>
  </si>
  <si>
    <t>Quadro di incidenza della manodopera_Oneri della sicurezza</t>
  </si>
  <si>
    <t>ELABORATI DESCRITTIVI DELLE OPERE ARCHITETTONICHE</t>
  </si>
  <si>
    <t>100</t>
  </si>
  <si>
    <r>
      <rPr>
        <b val="1"/>
        <sz val="12"/>
        <color indexed="8"/>
        <rFont val="Barlow"/>
      </rPr>
      <t>PE.1A.GN.GE.REL.100.00</t>
    </r>
  </si>
  <si>
    <t>Relazione tecnica delle opere architettoniche e requisiti igienico sanitari</t>
  </si>
  <si>
    <t>101</t>
  </si>
  <si>
    <r>
      <rPr>
        <b val="1"/>
        <sz val="12"/>
        <color indexed="8"/>
        <rFont val="Barlow"/>
      </rPr>
      <t>PE.1A.GN.GE.REL.101.00</t>
    </r>
  </si>
  <si>
    <t>Relazione sul superamento delle barriere architettoniche</t>
  </si>
  <si>
    <t>102</t>
  </si>
  <si>
    <r>
      <rPr>
        <b val="1"/>
        <sz val="12"/>
        <color indexed="8"/>
        <rFont val="Barlow"/>
      </rPr>
      <t>PE.1A.GN.GE.CAP.102.00</t>
    </r>
  </si>
  <si>
    <t>Capitolato speciale d'appalto - Parte tecnica - Opere edili</t>
  </si>
  <si>
    <t>103</t>
  </si>
  <si>
    <r>
      <rPr>
        <b val="1"/>
        <sz val="12"/>
        <color indexed="8"/>
        <rFont val="Barlow"/>
      </rPr>
      <t>PE.1A.GN.GE.CME.103.00</t>
    </r>
  </si>
  <si>
    <t>Computo metrico estimativo - opere architettoniche</t>
  </si>
  <si>
    <t>104</t>
  </si>
  <si>
    <r>
      <rPr>
        <b val="1"/>
        <sz val="12"/>
        <color indexed="8"/>
        <rFont val="Barlow"/>
      </rPr>
      <t>PE.1A.GN.GE.CME.104.00</t>
    </r>
  </si>
  <si>
    <t>Quadro di incidenza della manodopera - opere architettoniche</t>
  </si>
  <si>
    <t>105</t>
  </si>
  <si>
    <r>
      <rPr>
        <b val="1"/>
        <sz val="12"/>
        <color indexed="8"/>
        <rFont val="Barlow"/>
      </rPr>
      <t>PE.1A.GN.GE.EPU.105.00</t>
    </r>
  </si>
  <si>
    <t>Elenco ed analisi prezzi unitari  - opere architettoniche</t>
  </si>
  <si>
    <t>106</t>
  </si>
  <si>
    <r>
      <rPr>
        <b val="1"/>
        <sz val="12"/>
        <color indexed="8"/>
        <rFont val="Barlow"/>
      </rPr>
      <t>PE.1A.GN.GE.ELB.106.00</t>
    </r>
  </si>
  <si>
    <t>Quadro comparativo: PFTE e PE - opere architettoniche</t>
  </si>
  <si>
    <t>ELABORATI DESCRITTIVI DELLE OPERE STRUTTURALI</t>
  </si>
  <si>
    <t>200</t>
  </si>
  <si>
    <r>
      <rPr>
        <b val="1"/>
        <sz val="12"/>
        <color indexed="8"/>
        <rFont val="Barlow"/>
      </rPr>
      <t>PE.2S.GN.GE.REL.200.00</t>
    </r>
  </si>
  <si>
    <t>Relazione tecnica generale delle opere strutturali</t>
  </si>
  <si>
    <t>201</t>
  </si>
  <si>
    <r>
      <rPr>
        <b val="1"/>
        <sz val="12"/>
        <color indexed="8"/>
        <rFont val="Barlow"/>
      </rPr>
      <t>PE.2S.GN.GE.REL.201.00</t>
    </r>
  </si>
  <si>
    <t>Relazione sui materiali delle opere strutturali</t>
  </si>
  <si>
    <t>202</t>
  </si>
  <si>
    <r>
      <rPr>
        <b val="1"/>
        <sz val="12"/>
        <color indexed="8"/>
        <rFont val="Barlow"/>
      </rPr>
      <t>PE.2S.GN.GE.REL.202.00</t>
    </r>
  </si>
  <si>
    <t>Relazione di calcolo delle fondazioni</t>
  </si>
  <si>
    <t>203</t>
  </si>
  <si>
    <r>
      <rPr>
        <b val="1"/>
        <sz val="12"/>
        <color indexed="8"/>
        <rFont val="Barlow"/>
      </rPr>
      <t>PE.2S.GN.GE.REL.203.00</t>
    </r>
  </si>
  <si>
    <t>Relazione geotecnica</t>
  </si>
  <si>
    <t>204</t>
  </si>
  <si>
    <r>
      <rPr>
        <b val="1"/>
        <sz val="12"/>
        <color indexed="8"/>
        <rFont val="Barlow"/>
      </rPr>
      <t>PE.2S.GN.GE.REL.204.00</t>
    </r>
  </si>
  <si>
    <t>Relazione di calcolo delle opere strutturali</t>
  </si>
  <si>
    <t>205</t>
  </si>
  <si>
    <r>
      <rPr>
        <b val="1"/>
        <sz val="12"/>
        <color indexed="8"/>
        <rFont val="Barlow"/>
      </rPr>
      <t>PE.2S.GN.GE.REL.205.00</t>
    </r>
  </si>
  <si>
    <t>Relazione di calcolo delle opere prefabbricate</t>
  </si>
  <si>
    <t>206</t>
  </si>
  <si>
    <r>
      <rPr>
        <b val="1"/>
        <sz val="12"/>
        <color indexed="8"/>
        <rFont val="Barlow"/>
      </rPr>
      <t>PE.2S.GN.GE.CAP.206.00</t>
    </r>
  </si>
  <si>
    <t>Capitolato speciale d'appalto - Parte tecnica - Opere strutturali</t>
  </si>
  <si>
    <t>207</t>
  </si>
  <si>
    <r>
      <rPr>
        <b val="1"/>
        <sz val="12"/>
        <color indexed="8"/>
        <rFont val="Barlow"/>
      </rPr>
      <t>PE.2S.GN.GE.REL.207.00</t>
    </r>
  </si>
  <si>
    <t>Piano di manutenzione strutture in opera</t>
  </si>
  <si>
    <t>208</t>
  </si>
  <si>
    <r>
      <rPr>
        <b val="1"/>
        <sz val="12"/>
        <color indexed="8"/>
        <rFont val="Barlow"/>
      </rPr>
      <t>PE.2S.GN.GE.REL.208.00</t>
    </r>
  </si>
  <si>
    <t>Piano di manutenzione strutture prefabbricate</t>
  </si>
  <si>
    <t>209</t>
  </si>
  <si>
    <r>
      <rPr>
        <b val="1"/>
        <sz val="12"/>
        <color indexed="8"/>
        <rFont val="Barlow"/>
      </rPr>
      <t>PE.2S.GN.GE.CME.209.00</t>
    </r>
  </si>
  <si>
    <t>Computo metrico estimativo - opere strutturali</t>
  </si>
  <si>
    <t>210</t>
  </si>
  <si>
    <r>
      <rPr>
        <b val="1"/>
        <sz val="12"/>
        <color indexed="8"/>
        <rFont val="Barlow"/>
      </rPr>
      <t>PE.2S.GN.GE.CME.210.00</t>
    </r>
  </si>
  <si>
    <t>Quadro di incidenza della manodopera - opere strutturali</t>
  </si>
  <si>
    <t>211</t>
  </si>
  <si>
    <r>
      <rPr>
        <b val="1"/>
        <sz val="12"/>
        <color indexed="8"/>
        <rFont val="Barlow"/>
      </rPr>
      <t>PE.2S.GN.GE.EPU.211.00</t>
    </r>
  </si>
  <si>
    <t>Elenco ed analisi prezzi unitari  - opere strutturali</t>
  </si>
  <si>
    <t>212</t>
  </si>
  <si>
    <r>
      <rPr>
        <b val="1"/>
        <sz val="12"/>
        <color indexed="8"/>
        <rFont val="Barlow"/>
      </rPr>
      <t>PE.2S.GN.GE.ELB.212.00</t>
    </r>
  </si>
  <si>
    <t>Quadro comparativo: PFTE e PE - opere strutturali</t>
  </si>
  <si>
    <t>ELABORATI DESCRITTIVI DEGLI IMPIANTI ELETTRICI</t>
  </si>
  <si>
    <t>300</t>
  </si>
  <si>
    <r>
      <rPr>
        <b val="1"/>
        <sz val="12"/>
        <color indexed="8"/>
        <rFont val="Barlow"/>
      </rPr>
      <t>PE.3I.GN.GE.REL.300.00</t>
    </r>
  </si>
  <si>
    <t>Relazione tecnica impianti elettrici e speciali</t>
  </si>
  <si>
    <t>301</t>
  </si>
  <si>
    <r>
      <rPr>
        <b val="1"/>
        <sz val="12"/>
        <color indexed="8"/>
        <rFont val="Barlow"/>
      </rPr>
      <t>PE.3I.GN.GE.REL.301.00</t>
    </r>
  </si>
  <si>
    <t>Relazione tecnica impianto fotovoltaico</t>
  </si>
  <si>
    <t>302</t>
  </si>
  <si>
    <r>
      <rPr>
        <b val="1"/>
        <sz val="12"/>
        <color indexed="8"/>
        <rFont val="Barlow"/>
      </rPr>
      <t>PE.3I.GN.GE.REL.302.00</t>
    </r>
  </si>
  <si>
    <t>Relazione tecnica impianto fulminazione</t>
  </si>
  <si>
    <t>303</t>
  </si>
  <si>
    <r>
      <rPr>
        <b val="1"/>
        <sz val="12"/>
        <color indexed="8"/>
        <rFont val="Barlow"/>
      </rPr>
      <t>PE.3I.GN.GE.REL.303.00</t>
    </r>
  </si>
  <si>
    <t>Relazione verifiche illuminotecniche</t>
  </si>
  <si>
    <t>304</t>
  </si>
  <si>
    <r>
      <rPr>
        <b val="1"/>
        <sz val="12"/>
        <color indexed="8"/>
        <rFont val="Barlow"/>
      </rPr>
      <t>PE.3I.GN.GE.CAP.304.00</t>
    </r>
  </si>
  <si>
    <t>Capitolato speciale d'appalto - Parte tecnica - Opere impiantistiche_elettrico</t>
  </si>
  <si>
    <t>ELABORATI DESCRITTIVI DEGLI IMPIANTI MECCANICI</t>
  </si>
  <si>
    <t>305</t>
  </si>
  <si>
    <r>
      <rPr>
        <b val="1"/>
        <sz val="12"/>
        <color indexed="8"/>
        <rFont val="Barlow"/>
      </rPr>
      <t>PE.3I.GN.GE.REL.305.00</t>
    </r>
  </si>
  <si>
    <t>Relazione Tecnica Impianti Meccanici</t>
  </si>
  <si>
    <t>306</t>
  </si>
  <si>
    <r>
      <rPr>
        <b val="1"/>
        <sz val="12"/>
        <color indexed="8"/>
        <rFont val="Barlow"/>
      </rPr>
      <t>PE.3I.GN.GE.REL.306.00</t>
    </r>
  </si>
  <si>
    <t>Relazione Tecnica contenimento energetico ex L10</t>
  </si>
  <si>
    <t>307</t>
  </si>
  <si>
    <r>
      <rPr>
        <b val="1"/>
        <sz val="12"/>
        <color indexed="8"/>
        <rFont val="Barlow"/>
      </rPr>
      <t>PE.3I.GN.GE.ELB.307.00</t>
    </r>
  </si>
  <si>
    <t>Piano di Manutenzione Impianti Meccanici Elettrici</t>
  </si>
  <si>
    <t>308</t>
  </si>
  <si>
    <r>
      <rPr>
        <b val="1"/>
        <sz val="12"/>
        <color indexed="8"/>
        <rFont val="Barlow"/>
      </rPr>
      <t>PE.3I.GN.GE.CAP.308.00</t>
    </r>
  </si>
  <si>
    <t>Capitolato speciale d'appalto - Parte tecnica - Opere impiantistiche_meccanico</t>
  </si>
  <si>
    <t>309</t>
  </si>
  <si>
    <r>
      <rPr>
        <b val="1"/>
        <sz val="12"/>
        <color indexed="8"/>
        <rFont val="Barlow"/>
      </rPr>
      <t>PE.3I.GN.GE.CME.309.00</t>
    </r>
  </si>
  <si>
    <t>Computo metrico estimativo - opere impiantistiche</t>
  </si>
  <si>
    <t>310</t>
  </si>
  <si>
    <r>
      <rPr>
        <b val="1"/>
        <sz val="12"/>
        <color indexed="8"/>
        <rFont val="Barlow"/>
      </rPr>
      <t>PE.3I.GN.GE.CME.310.00</t>
    </r>
  </si>
  <si>
    <t>Quadro di incidenza della manodopera - opere impiantistiche</t>
  </si>
  <si>
    <t>311</t>
  </si>
  <si>
    <r>
      <rPr>
        <b val="1"/>
        <sz val="12"/>
        <color indexed="8"/>
        <rFont val="Barlow"/>
      </rPr>
      <t>PE.3I.GN.GE.EPU.311.00</t>
    </r>
  </si>
  <si>
    <t>Elenco ed analisi prezzi unitari - opere impiantistiche</t>
  </si>
  <si>
    <t>312</t>
  </si>
  <si>
    <r>
      <rPr>
        <b val="1"/>
        <sz val="12"/>
        <color indexed="8"/>
        <rFont val="Barlow"/>
      </rPr>
      <t>PE.3I.GN.GE.ELB.312.00</t>
    </r>
  </si>
  <si>
    <t>Quadro comparativo: PFTE e PE - opere impiantistiche</t>
  </si>
  <si>
    <t>RILIEVO</t>
  </si>
  <si>
    <t>CORPO A</t>
  </si>
  <si>
    <t>RILIEVO - CORPO A</t>
  </si>
  <si>
    <r>
      <rPr>
        <sz val="10"/>
        <color indexed="8"/>
        <rFont val="Barlow"/>
      </rPr>
      <t xml:space="preserve"> 25007</t>
    </r>
  </si>
  <si>
    <r>
      <rPr>
        <b val="1"/>
        <sz val="12"/>
        <color indexed="8"/>
        <rFont val="Barlow"/>
      </rPr>
      <t>PE.7R.A.PI.PNT.001.00</t>
    </r>
  </si>
  <si>
    <t>Piano interrato</t>
  </si>
  <si>
    <t>1:100</t>
  </si>
  <si>
    <r>
      <rPr>
        <b val="1"/>
        <sz val="12"/>
        <color indexed="8"/>
        <rFont val="Barlow"/>
      </rPr>
      <t>PE.7R.A.P0.PNT.002.00</t>
    </r>
  </si>
  <si>
    <t>Piano terra</t>
  </si>
  <si>
    <r>
      <rPr>
        <b val="1"/>
        <sz val="12"/>
        <color indexed="8"/>
        <rFont val="Barlow"/>
      </rPr>
      <t>PE.7R.A.PR.PNT.003.00</t>
    </r>
  </si>
  <si>
    <r>
      <rPr>
        <b val="1"/>
        <sz val="12"/>
        <color indexed="8"/>
        <rFont val="Barlow"/>
      </rPr>
      <t>PE.7R.A.P1.PNT.004.00</t>
    </r>
  </si>
  <si>
    <t>Piano primo</t>
  </si>
  <si>
    <r>
      <rPr>
        <b val="1"/>
        <sz val="12"/>
        <color indexed="8"/>
        <rFont val="Barlow"/>
      </rPr>
      <t>PE.7R.A.P2.PNT.005.00</t>
    </r>
  </si>
  <si>
    <t>Piano secondo</t>
  </si>
  <si>
    <r>
      <rPr>
        <b val="1"/>
        <sz val="12"/>
        <color indexed="8"/>
        <rFont val="Barlow"/>
      </rPr>
      <t>PE.7R.A.P3.PNT.006.00</t>
    </r>
  </si>
  <si>
    <t>Piano terzo</t>
  </si>
  <si>
    <r>
      <rPr>
        <b val="1"/>
        <sz val="12"/>
        <color indexed="8"/>
        <rFont val="Barlow"/>
      </rPr>
      <t>PE.7R.A.P4.PNT.007.00</t>
    </r>
  </si>
  <si>
    <t>Piano quarto</t>
  </si>
  <si>
    <r>
      <rPr>
        <b val="1"/>
        <sz val="12"/>
        <color indexed="8"/>
        <rFont val="Barlow"/>
      </rPr>
      <t>PE.7R.A.P5.PNT.008.00</t>
    </r>
  </si>
  <si>
    <t>Piano quinto</t>
  </si>
  <si>
    <r>
      <rPr>
        <b val="1"/>
        <sz val="12"/>
        <color indexed="8"/>
        <rFont val="Barlow"/>
      </rPr>
      <t>PE.7R.A.P6.PNT.009.00</t>
    </r>
  </si>
  <si>
    <t xml:space="preserve">Piano sesto </t>
  </si>
  <si>
    <r>
      <rPr>
        <b val="1"/>
        <sz val="12"/>
        <color indexed="8"/>
        <rFont val="Barlow"/>
      </rPr>
      <t>PE.7R.A.P7.PNT.010.00</t>
    </r>
  </si>
  <si>
    <t>Piano settimo</t>
  </si>
  <si>
    <r>
      <rPr>
        <b val="1"/>
        <sz val="12"/>
        <color indexed="8"/>
        <rFont val="Barlow"/>
      </rPr>
      <t>PE.7R.A.P8.PNT.011.00</t>
    </r>
  </si>
  <si>
    <t>Piano ottavo</t>
  </si>
  <si>
    <r>
      <rPr>
        <b val="1"/>
        <sz val="12"/>
        <color indexed="8"/>
        <rFont val="Barlow"/>
      </rPr>
      <t>PE.7R.A.P9.PNT.012.00</t>
    </r>
  </si>
  <si>
    <t>Piano nono</t>
  </si>
  <si>
    <r>
      <rPr>
        <b val="1"/>
        <sz val="12"/>
        <color indexed="8"/>
        <rFont val="Barlow"/>
      </rPr>
      <t>PE.7R.A.P10.PNT.013.00</t>
    </r>
  </si>
  <si>
    <t>Piano decimo</t>
  </si>
  <si>
    <r>
      <rPr>
        <b val="1"/>
        <sz val="12"/>
        <color indexed="8"/>
        <rFont val="Barlow"/>
      </rPr>
      <t>PE.7R.A.P11.PNT.014.00</t>
    </r>
  </si>
  <si>
    <t>Piano undicesimo</t>
  </si>
  <si>
    <r>
      <rPr>
        <b val="1"/>
        <sz val="12"/>
        <color indexed="8"/>
        <rFont val="Barlow"/>
      </rPr>
      <t>PE.7R.A.P12.PNT.015.00</t>
    </r>
  </si>
  <si>
    <t>Piano dodicesimo</t>
  </si>
  <si>
    <r>
      <rPr>
        <b val="1"/>
        <sz val="12"/>
        <color indexed="8"/>
        <rFont val="Barlow"/>
      </rPr>
      <t>PE.7R.A.P13.PNT.016.00</t>
    </r>
  </si>
  <si>
    <t>Piano tredicesimo</t>
  </si>
  <si>
    <r>
      <rPr>
        <b val="1"/>
        <sz val="12"/>
        <color indexed="8"/>
        <rFont val="Barlow"/>
      </rPr>
      <t>PE.7R.A.P14.PNT.017.00</t>
    </r>
  </si>
  <si>
    <t>Piano quattordicesimo</t>
  </si>
  <si>
    <t>018</t>
  </si>
  <si>
    <r>
      <rPr>
        <b val="1"/>
        <sz val="12"/>
        <color indexed="8"/>
        <rFont val="Barlow"/>
      </rPr>
      <t>PE.7R.A.P15.PNT.018.00</t>
    </r>
  </si>
  <si>
    <t>Piano quindicesimo</t>
  </si>
  <si>
    <t>019</t>
  </si>
  <si>
    <r>
      <rPr>
        <b val="1"/>
        <sz val="12"/>
        <color indexed="8"/>
        <rFont val="Barlow"/>
      </rPr>
      <t>PE.7R.A.P16.PNT.019.00</t>
    </r>
  </si>
  <si>
    <t>Piano sedicesimo</t>
  </si>
  <si>
    <r>
      <rPr>
        <sz val="12"/>
        <color indexed="8"/>
        <rFont val="Barlow"/>
      </rPr>
      <t xml:space="preserve"> 25007</t>
    </r>
  </si>
  <si>
    <t>020</t>
  </si>
  <si>
    <r>
      <rPr>
        <b val="1"/>
        <sz val="12"/>
        <color indexed="8"/>
        <rFont val="Barlow"/>
      </rPr>
      <t>PE.7R.A.P17.PNT.020.00</t>
    </r>
  </si>
  <si>
    <t>Piano diciassettesimo</t>
  </si>
  <si>
    <t>021</t>
  </si>
  <si>
    <r>
      <rPr>
        <b val="1"/>
        <sz val="12"/>
        <color indexed="8"/>
        <rFont val="Barlow"/>
      </rPr>
      <t>PE.7R.A.PC.PNT.021.00</t>
    </r>
  </si>
  <si>
    <t>Piano di copertura</t>
  </si>
  <si>
    <t>022</t>
  </si>
  <si>
    <r>
      <rPr>
        <b val="1"/>
        <sz val="12"/>
        <color indexed="8"/>
        <rFont val="Barlow"/>
      </rPr>
      <t>PE.7R.A.GE.PRO.022.00</t>
    </r>
  </si>
  <si>
    <t>Prospetto Est</t>
  </si>
  <si>
    <t>023</t>
  </si>
  <si>
    <r>
      <rPr>
        <b val="1"/>
        <sz val="12"/>
        <color indexed="8"/>
        <rFont val="Barlow"/>
      </rPr>
      <t>PE.7R.A.GE.PRO.023.00</t>
    </r>
  </si>
  <si>
    <t>Prospetto Ovest</t>
  </si>
  <si>
    <t>024</t>
  </si>
  <si>
    <r>
      <rPr>
        <b val="1"/>
        <sz val="12"/>
        <color indexed="8"/>
        <rFont val="Barlow"/>
      </rPr>
      <t>PE.7R.A.GE.PRO.024.00</t>
    </r>
  </si>
  <si>
    <t>Prospetti Nord e Sud</t>
  </si>
  <si>
    <t>025</t>
  </si>
  <si>
    <r>
      <rPr>
        <b val="1"/>
        <sz val="12"/>
        <color indexed="8"/>
        <rFont val="Barlow"/>
      </rPr>
      <t>PE.7R.A.GE.SEZ.025.00</t>
    </r>
  </si>
  <si>
    <t>Sezione AA</t>
  </si>
  <si>
    <t>026</t>
  </si>
  <si>
    <r>
      <rPr>
        <b val="1"/>
        <sz val="12"/>
        <color indexed="8"/>
        <rFont val="Barlow"/>
      </rPr>
      <t>PE.7R.A.GE.SEZ.026.00</t>
    </r>
  </si>
  <si>
    <t>Sezione BB e CC</t>
  </si>
  <si>
    <t>027</t>
  </si>
  <si>
    <r>
      <rPr>
        <b val="1"/>
        <sz val="12"/>
        <color indexed="8"/>
        <rFont val="Barlow"/>
      </rPr>
      <t>PE.7R.A.GE.SEZ.027.00</t>
    </r>
  </si>
  <si>
    <t>Sezione DD</t>
  </si>
  <si>
    <t>CORPO B / F /G</t>
  </si>
  <si>
    <t>RILIEVO - CORPO B/F/G</t>
  </si>
  <si>
    <r>
      <rPr>
        <b val="1"/>
        <sz val="12"/>
        <color indexed="8"/>
        <rFont val="Barlow"/>
      </rPr>
      <t>PE.7R.BFG.PI.PNT.001.00</t>
    </r>
  </si>
  <si>
    <r>
      <rPr>
        <b val="1"/>
        <sz val="12"/>
        <color indexed="8"/>
        <rFont val="Barlow"/>
      </rPr>
      <t>PE.7R.BFG.P0.PNT.002.00</t>
    </r>
  </si>
  <si>
    <r>
      <rPr>
        <b val="1"/>
        <sz val="12"/>
        <color indexed="8"/>
        <rFont val="Barlow"/>
      </rPr>
      <t>PE.7R.BFG.PR.PNT.003.00</t>
    </r>
  </si>
  <si>
    <r>
      <rPr>
        <b val="1"/>
        <sz val="12"/>
        <color indexed="8"/>
        <rFont val="Barlow"/>
      </rPr>
      <t>PE.7R.BFG.P1.PNT.004.00</t>
    </r>
  </si>
  <si>
    <r>
      <rPr>
        <b val="1"/>
        <sz val="12"/>
        <color indexed="8"/>
        <rFont val="Barlow"/>
      </rPr>
      <t>PE.7R.BFG.P2.PNT.005.00</t>
    </r>
  </si>
  <si>
    <r>
      <rPr>
        <b val="1"/>
        <sz val="12"/>
        <color indexed="8"/>
        <rFont val="Barlow"/>
      </rPr>
      <t>PE.7R.BFG.P3.PNT.006.00</t>
    </r>
  </si>
  <si>
    <r>
      <rPr>
        <b val="1"/>
        <sz val="12"/>
        <color indexed="8"/>
        <rFont val="Barlow"/>
      </rPr>
      <t>PE.7R.BFG.P4.PNT.007.00</t>
    </r>
  </si>
  <si>
    <r>
      <rPr>
        <b val="1"/>
        <sz val="12"/>
        <color indexed="8"/>
        <rFont val="Barlow"/>
      </rPr>
      <t>PE.7R.BFG.P5.PNT.008.00</t>
    </r>
  </si>
  <si>
    <r>
      <rPr>
        <b val="1"/>
        <sz val="12"/>
        <color indexed="8"/>
        <rFont val="Barlow"/>
      </rPr>
      <t>PE.7R.BFG.PC.PNT.009.00</t>
    </r>
  </si>
  <si>
    <r>
      <rPr>
        <b val="1"/>
        <sz val="12"/>
        <color indexed="8"/>
        <rFont val="Barlow"/>
      </rPr>
      <t>PE.7R.BFG.GE.PRO.010.00</t>
    </r>
  </si>
  <si>
    <r>
      <rPr>
        <b val="1"/>
        <sz val="12"/>
        <color indexed="8"/>
        <rFont val="Barlow"/>
      </rPr>
      <t>PE.7R.BFG.GE.PRO.011.00</t>
    </r>
  </si>
  <si>
    <r>
      <rPr>
        <b val="1"/>
        <sz val="12"/>
        <color indexed="8"/>
        <rFont val="Barlow"/>
      </rPr>
      <t>PE.7R.BFG.GE.PRO.012.00</t>
    </r>
  </si>
  <si>
    <r>
      <rPr>
        <b val="1"/>
        <sz val="12"/>
        <color indexed="8"/>
        <rFont val="Barlow"/>
      </rPr>
      <t>PE.7R.BFG.GE.SEZ.013.00</t>
    </r>
  </si>
  <si>
    <r>
      <rPr>
        <b val="1"/>
        <sz val="12"/>
        <color indexed="8"/>
        <rFont val="Barlow"/>
      </rPr>
      <t>PE.7R.BFG.GE.SEZ.014.00</t>
    </r>
  </si>
  <si>
    <t>Sezione BB</t>
  </si>
  <si>
    <r>
      <rPr>
        <b val="1"/>
        <sz val="12"/>
        <color indexed="8"/>
        <rFont val="Barlow"/>
      </rPr>
      <t>PE.7R.BFG.GE.SEZ.015.00</t>
    </r>
  </si>
  <si>
    <t>Sezione CC</t>
  </si>
  <si>
    <t>CORPO C / D / E / H</t>
  </si>
  <si>
    <t>RILIEVO - CORPO C/D/H</t>
  </si>
  <si>
    <r>
      <rPr>
        <b val="1"/>
        <sz val="12"/>
        <color indexed="8"/>
        <rFont val="Barlow"/>
      </rPr>
      <t>PE.7R.CDEH.PI.PNT.001.00</t>
    </r>
  </si>
  <si>
    <r>
      <rPr>
        <b val="1"/>
        <sz val="12"/>
        <color indexed="8"/>
        <rFont val="Barlow"/>
      </rPr>
      <t>PE.7R.CDEH.P0.PNT.002.00</t>
    </r>
  </si>
  <si>
    <t>Piano terra - Quadrante A</t>
  </si>
  <si>
    <r>
      <rPr>
        <b val="1"/>
        <sz val="12"/>
        <color indexed="8"/>
        <rFont val="Barlow"/>
      </rPr>
      <t>PE.7R.CDEH.P0.PNT.003.00</t>
    </r>
  </si>
  <si>
    <t>Piano terra - Quadrante B</t>
  </si>
  <si>
    <r>
      <rPr>
        <b val="1"/>
        <sz val="12"/>
        <color indexed="8"/>
        <rFont val="Barlow"/>
      </rPr>
      <t>PE.7R.CDEH.PR.PNT.004.00</t>
    </r>
  </si>
  <si>
    <t>Piano rialzato - Quadrante  A</t>
  </si>
  <si>
    <r>
      <rPr>
        <b val="1"/>
        <sz val="12"/>
        <color indexed="8"/>
        <rFont val="Barlow"/>
      </rPr>
      <t>PE.7R.CDEH.PR.PNT.005.00</t>
    </r>
  </si>
  <si>
    <t>Piano rialzato - Quadrante B</t>
  </si>
  <si>
    <r>
      <rPr>
        <b val="1"/>
        <sz val="12"/>
        <color indexed="8"/>
        <rFont val="Barlow"/>
      </rPr>
      <t>PE.7R.CDEH.P1.PNT.006.00</t>
    </r>
  </si>
  <si>
    <t>Piano primo - Quadrante A</t>
  </si>
  <si>
    <r>
      <rPr>
        <b val="1"/>
        <sz val="12"/>
        <color indexed="8"/>
        <rFont val="Barlow"/>
      </rPr>
      <t>PE.7R.CDEH.P1.PNT.007.00</t>
    </r>
  </si>
  <si>
    <t>Piano primo - Quadrante B</t>
  </si>
  <si>
    <r>
      <rPr>
        <b val="1"/>
        <sz val="12"/>
        <color indexed="8"/>
        <rFont val="Barlow"/>
      </rPr>
      <t>PE.7R.CDEH.P2.PNT.008.00</t>
    </r>
  </si>
  <si>
    <t>Piano secondo - Quadrante A</t>
  </si>
  <si>
    <r>
      <rPr>
        <b val="1"/>
        <sz val="12"/>
        <color indexed="8"/>
        <rFont val="Barlow"/>
      </rPr>
      <t>PE.7R.CDEH.P2.PNT.009.00</t>
    </r>
  </si>
  <si>
    <t>Piano secondo - Quadrante B</t>
  </si>
  <si>
    <r>
      <rPr>
        <b val="1"/>
        <sz val="12"/>
        <color indexed="8"/>
        <rFont val="Barlow"/>
      </rPr>
      <t>PE.7R.CDEH.P3.PNT.010.00</t>
    </r>
  </si>
  <si>
    <r>
      <rPr>
        <b val="1"/>
        <sz val="12"/>
        <color indexed="8"/>
        <rFont val="Barlow"/>
      </rPr>
      <t>PE.7R.CDEH.GE.PRO.011.00</t>
    </r>
  </si>
  <si>
    <r>
      <rPr>
        <b val="1"/>
        <sz val="12"/>
        <color indexed="8"/>
        <rFont val="Barlow"/>
      </rPr>
      <t>PE.7R.CDEH.GE.PRO.012.00</t>
    </r>
  </si>
  <si>
    <r>
      <rPr>
        <b val="1"/>
        <sz val="12"/>
        <color indexed="8"/>
        <rFont val="Barlow"/>
      </rPr>
      <t>PE.7R.CDEH.GE.PRO.013.00</t>
    </r>
  </si>
  <si>
    <t>Prospetti Nord</t>
  </si>
  <si>
    <r>
      <rPr>
        <b val="1"/>
        <sz val="12"/>
        <color indexed="8"/>
        <rFont val="Barlow"/>
      </rPr>
      <t>PE.7R.CDEH.GE.PRO.014.00</t>
    </r>
  </si>
  <si>
    <t>Prospetti Sud</t>
  </si>
  <si>
    <t>1:101</t>
  </si>
  <si>
    <r>
      <rPr>
        <b val="1"/>
        <sz val="12"/>
        <color indexed="8"/>
        <rFont val="Barlow"/>
      </rPr>
      <t>PE.7R.CDEH.GE.SEZ.015.00</t>
    </r>
  </si>
  <si>
    <r>
      <rPr>
        <b val="1"/>
        <sz val="12"/>
        <color indexed="8"/>
        <rFont val="Barlow"/>
      </rPr>
      <t>PE.7R.CDEH.GE.SEZ.016.00</t>
    </r>
  </si>
  <si>
    <r>
      <rPr>
        <b val="1"/>
        <sz val="12"/>
        <color indexed="8"/>
        <rFont val="Barlow"/>
      </rPr>
      <t>PE.7R.CDEH.GE.SEZ.017.00</t>
    </r>
  </si>
  <si>
    <t>PROGETTO ARCHITETTONICO</t>
  </si>
  <si>
    <r>
      <rPr>
        <b val="1"/>
        <sz val="12"/>
        <color indexed="8"/>
        <rFont val="Barlow"/>
      </rPr>
      <t>PE.1A.GN.GE.PLN.100.00</t>
    </r>
  </si>
  <si>
    <t>Inquadramento territoriale</t>
  </si>
  <si>
    <t>1:1000</t>
  </si>
  <si>
    <r>
      <rPr>
        <b val="1"/>
        <sz val="12"/>
        <color indexed="8"/>
        <rFont val="Barlow"/>
      </rPr>
      <t>PE.1A.GN.GE.PLN.101.00</t>
    </r>
  </si>
  <si>
    <t>Inquadramento lotto</t>
  </si>
  <si>
    <r>
      <rPr>
        <b val="1"/>
        <sz val="12"/>
        <color indexed="8"/>
        <rFont val="Barlow"/>
      </rPr>
      <t>PE.1A.GN.P0.PNT.102.00</t>
    </r>
  </si>
  <si>
    <t xml:space="preserve">Stato attuale - Pianta piano terra  </t>
  </si>
  <si>
    <t>1:50</t>
  </si>
  <si>
    <r>
      <rPr>
        <b val="1"/>
        <sz val="12"/>
        <color indexed="8"/>
        <rFont val="Barlow"/>
      </rPr>
      <t>PE.1A.GN.P0.PNT.103.00</t>
    </r>
  </si>
  <si>
    <t>Sovrapposto - Pianta piano terra</t>
  </si>
  <si>
    <r>
      <rPr>
        <b val="1"/>
        <sz val="12"/>
        <color indexed="8"/>
        <rFont val="Barlow"/>
      </rPr>
      <t>PE.1A.GN.PI.PNT.104.00</t>
    </r>
  </si>
  <si>
    <t xml:space="preserve">Progetto - Pianta piano interrato  - Funzioni e arredi </t>
  </si>
  <si>
    <r>
      <rPr>
        <b val="1"/>
        <sz val="12"/>
        <color indexed="8"/>
        <rFont val="Barlow"/>
      </rPr>
      <t>PE.1A.GN.P0.PNT.105.00</t>
    </r>
  </si>
  <si>
    <t>Progetto - Pianta piano terra   - Funzioni e arredi</t>
  </si>
  <si>
    <r>
      <rPr>
        <b val="1"/>
        <sz val="12"/>
        <color indexed="8"/>
        <rFont val="Barlow"/>
      </rPr>
      <t>PE.1A.GN.P1.PNT.106.00</t>
    </r>
  </si>
  <si>
    <t>Progetto - Pianta piano primo   - Funzioni e arredi</t>
  </si>
  <si>
    <t>107</t>
  </si>
  <si>
    <r>
      <rPr>
        <b val="1"/>
        <sz val="12"/>
        <color indexed="8"/>
        <rFont val="Barlow"/>
      </rPr>
      <t>PE.1A.GN.P2.PNT.107.00</t>
    </r>
  </si>
  <si>
    <t>Progetto - Pianta piano secondo - Funzioni e arredi</t>
  </si>
  <si>
    <t>108</t>
  </si>
  <si>
    <r>
      <rPr>
        <b val="1"/>
        <sz val="12"/>
        <color indexed="8"/>
        <rFont val="Barlow"/>
      </rPr>
      <t>PE.1A.GN.PC.PNT.108.00</t>
    </r>
  </si>
  <si>
    <t>Progetto - Pianta piano copertura - Funzioni e arredi</t>
  </si>
  <si>
    <t>109</t>
  </si>
  <si>
    <r>
      <rPr>
        <b val="1"/>
        <sz val="12"/>
        <color indexed="8"/>
        <rFont val="Barlow"/>
      </rPr>
      <t>PE.1A.GN.PI.PNT.109.00</t>
    </r>
  </si>
  <si>
    <t>Progetto - Pianta piano interrato</t>
  </si>
  <si>
    <t>110</t>
  </si>
  <si>
    <r>
      <rPr>
        <b val="1"/>
        <sz val="12"/>
        <color indexed="8"/>
        <rFont val="Barlow"/>
      </rPr>
      <t>PE.1A.GN.P0.PNT.110.00</t>
    </r>
  </si>
  <si>
    <t xml:space="preserve">Progetto - Pianta piano terra  </t>
  </si>
  <si>
    <t>111</t>
  </si>
  <si>
    <r>
      <rPr>
        <b val="1"/>
        <sz val="12"/>
        <color indexed="8"/>
        <rFont val="Barlow"/>
      </rPr>
      <t>PE.1A.GN.P1.PNT.111.00</t>
    </r>
  </si>
  <si>
    <t xml:space="preserve">Progetto - Pianta piano primo  </t>
  </si>
  <si>
    <t>112</t>
  </si>
  <si>
    <r>
      <rPr>
        <b val="1"/>
        <sz val="12"/>
        <color indexed="8"/>
        <rFont val="Barlow"/>
      </rPr>
      <t>PE.1A.GN.P2.PNT.112.00</t>
    </r>
  </si>
  <si>
    <t>Progetto - Pianta piano secondo</t>
  </si>
  <si>
    <t>113</t>
  </si>
  <si>
    <r>
      <rPr>
        <b val="1"/>
        <sz val="12"/>
        <color indexed="8"/>
        <rFont val="Barlow"/>
      </rPr>
      <t>PE.1A.GN.PC.PNT.113.00</t>
    </r>
  </si>
  <si>
    <t xml:space="preserve">Progetto - Pianta piano copertura  </t>
  </si>
  <si>
    <t>114</t>
  </si>
  <si>
    <r>
      <rPr>
        <b val="1"/>
        <sz val="12"/>
        <color indexed="8"/>
        <rFont val="Barlow"/>
      </rPr>
      <t>PE.1A.GN.GE.PRO.114.00</t>
    </r>
  </si>
  <si>
    <t>Progetto - Prospetti Nord e Sud</t>
  </si>
  <si>
    <t>115</t>
  </si>
  <si>
    <r>
      <rPr>
        <b val="1"/>
        <sz val="12"/>
        <color indexed="8"/>
        <rFont val="Barlow"/>
      </rPr>
      <t>PE.1A.GN.GE.PRO.115.00</t>
    </r>
  </si>
  <si>
    <t>Progetto - Prospetti Est e Ovest</t>
  </si>
  <si>
    <t>116</t>
  </si>
  <si>
    <r>
      <rPr>
        <b val="1"/>
        <sz val="12"/>
        <color indexed="8"/>
        <rFont val="Barlow"/>
      </rPr>
      <t>PE.1A.GN.GE.SEZ.116.00</t>
    </r>
  </si>
  <si>
    <t>Progetto - Sezioni AA’ e BB</t>
  </si>
  <si>
    <t>117</t>
  </si>
  <si>
    <r>
      <rPr>
        <b val="1"/>
        <sz val="12"/>
        <color indexed="8"/>
        <rFont val="Barlow"/>
      </rPr>
      <t>PE.1A.GN.GE.SEZ.117.00</t>
    </r>
  </si>
  <si>
    <t>Progetto - Sezioni CC’ e DD’</t>
  </si>
  <si>
    <t>118</t>
  </si>
  <si>
    <r>
      <rPr>
        <b val="1"/>
        <sz val="12"/>
        <color indexed="8"/>
        <rFont val="Barlow"/>
      </rPr>
      <t>PE.1A.GN.PI.PNT.118.00</t>
    </r>
  </si>
  <si>
    <t>Progetto - Pianta piano interrato - Finiture</t>
  </si>
  <si>
    <t>119</t>
  </si>
  <si>
    <r>
      <rPr>
        <b val="1"/>
        <sz val="12"/>
        <color indexed="8"/>
        <rFont val="Barlow"/>
      </rPr>
      <t>PE.1A.GN.P0.PNT.119.00</t>
    </r>
  </si>
  <si>
    <t>Progetto - Pianta piano terra - Finiture</t>
  </si>
  <si>
    <t>120</t>
  </si>
  <si>
    <r>
      <rPr>
        <b val="1"/>
        <sz val="12"/>
        <color indexed="8"/>
        <rFont val="Barlow"/>
      </rPr>
      <t>PE.1A.GN.P1.PNT.120.00</t>
    </r>
  </si>
  <si>
    <t>Progetto - Pianta piano primo - Finiture</t>
  </si>
  <si>
    <t>121</t>
  </si>
  <si>
    <r>
      <rPr>
        <b val="1"/>
        <sz val="12"/>
        <color indexed="8"/>
        <rFont val="Barlow"/>
      </rPr>
      <t>PE.1A.GN.P2.PNT.121.00</t>
    </r>
  </si>
  <si>
    <t>Progetto - Pianta piano secondo - Finiture</t>
  </si>
  <si>
    <t>122</t>
  </si>
  <si>
    <r>
      <rPr>
        <b val="1"/>
        <sz val="12"/>
        <color indexed="8"/>
        <rFont val="Barlow"/>
      </rPr>
      <t>PE.1A.GN.PC.PNT.122.00</t>
    </r>
  </si>
  <si>
    <t>Progetto - Pianta piano copertura - Finiture</t>
  </si>
  <si>
    <t>123</t>
  </si>
  <si>
    <r>
      <rPr>
        <b val="1"/>
        <sz val="12"/>
        <color indexed="8"/>
        <rFont val="Barlow"/>
      </rPr>
      <t>PE.1A.GN.PI.PNT.123.00</t>
    </r>
  </si>
  <si>
    <t>Progetto - Pianta piano interrato - Controsoffitti</t>
  </si>
  <si>
    <t>124</t>
  </si>
  <si>
    <r>
      <rPr>
        <b val="1"/>
        <sz val="12"/>
        <color indexed="8"/>
        <rFont val="Barlow"/>
      </rPr>
      <t>PE.1A.GN.P0.PNT.124.00</t>
    </r>
  </si>
  <si>
    <t>Progetto - Pianta piano terra - Controsoffitti</t>
  </si>
  <si>
    <t>125</t>
  </si>
  <si>
    <r>
      <rPr>
        <b val="1"/>
        <sz val="12"/>
        <color indexed="8"/>
        <rFont val="Barlow"/>
      </rPr>
      <t>PE.1A.GN.P1.PNT.125.00</t>
    </r>
  </si>
  <si>
    <t>Progetto - Pianta piano primo - Controsoffitti</t>
  </si>
  <si>
    <t>126</t>
  </si>
  <si>
    <r>
      <rPr>
        <b val="1"/>
        <sz val="12"/>
        <color indexed="8"/>
        <rFont val="Barlow"/>
      </rPr>
      <t>PE.1A.GN.P2.PNT.126.00</t>
    </r>
  </si>
  <si>
    <t>Progetto - Pianta piano secondo - Controsoffitti</t>
  </si>
  <si>
    <t>127</t>
  </si>
  <si>
    <r>
      <rPr>
        <b val="1"/>
        <sz val="12"/>
        <color indexed="8"/>
        <rFont val="Barlow"/>
      </rPr>
      <t>PE.1A.GN.PI.PNT.127.00</t>
    </r>
  </si>
  <si>
    <t xml:space="preserve">Superamento barriere architettoniche - Pianta piano interrato </t>
  </si>
  <si>
    <t>128</t>
  </si>
  <si>
    <r>
      <rPr>
        <b val="1"/>
        <sz val="12"/>
        <color indexed="8"/>
        <rFont val="Barlow"/>
      </rPr>
      <t>PE.1A.GN.P0.PNT.128.00</t>
    </r>
  </si>
  <si>
    <t xml:space="preserve">Superamento barriere architettoniche - Pianta piano terra  </t>
  </si>
  <si>
    <t>129</t>
  </si>
  <si>
    <r>
      <rPr>
        <b val="1"/>
        <sz val="12"/>
        <color indexed="8"/>
        <rFont val="Barlow"/>
      </rPr>
      <t>PE.1A.GN.P1.PNT.129.00</t>
    </r>
  </si>
  <si>
    <t xml:space="preserve">Superamento barriere architettoniche - Pianta piano primo  </t>
  </si>
  <si>
    <t>130</t>
  </si>
  <si>
    <r>
      <rPr>
        <b val="1"/>
        <sz val="12"/>
        <color indexed="8"/>
        <rFont val="Barlow"/>
      </rPr>
      <t>PE.1A.GN.P2.PNT.130.00</t>
    </r>
  </si>
  <si>
    <t>Superamento barriere architettoniche - Pianta piano secondo</t>
  </si>
  <si>
    <t>131</t>
  </si>
  <si>
    <r>
      <rPr>
        <b val="1"/>
        <sz val="12"/>
        <color indexed="8"/>
        <rFont val="Barlow"/>
      </rPr>
      <t>PE.1A.GN.GE.ABA.131.00</t>
    </r>
  </si>
  <si>
    <t>Abaco stratigrafie - Orizzontali e verticali</t>
  </si>
  <si>
    <t>1:10</t>
  </si>
  <si>
    <t>132</t>
  </si>
  <si>
    <r>
      <rPr>
        <b val="1"/>
        <sz val="12"/>
        <color indexed="8"/>
        <rFont val="Barlow"/>
      </rPr>
      <t>PE.1A.GN.GE.ABA.132.00</t>
    </r>
  </si>
  <si>
    <t>Abaco infissi - Interni ed esterni</t>
  </si>
  <si>
    <t>133</t>
  </si>
  <si>
    <r>
      <rPr>
        <b val="1"/>
        <sz val="12"/>
        <color indexed="8"/>
        <rFont val="Barlow"/>
      </rPr>
      <t>PE.1A.GN.GE.PNT.133.00</t>
    </r>
  </si>
  <si>
    <t xml:space="preserve">Particolari costruttivi 01  </t>
  </si>
  <si>
    <t>134</t>
  </si>
  <si>
    <r>
      <rPr>
        <b val="1"/>
        <sz val="12"/>
        <color indexed="8"/>
        <rFont val="Barlow"/>
      </rPr>
      <t>PE.1A.GN.GE.PNT.134.00</t>
    </r>
  </si>
  <si>
    <t>Particolari costruttivi 02</t>
  </si>
  <si>
    <t>PROGETTO STRUTTURALE</t>
  </si>
  <si>
    <r>
      <rPr>
        <b val="1"/>
        <sz val="12"/>
        <color indexed="8"/>
        <rFont val="Barlow"/>
      </rPr>
      <t>PE.2S.GN.GE.ELB.200.00</t>
    </r>
  </si>
  <si>
    <t>Prescrizioni iniziali</t>
  </si>
  <si>
    <r>
      <rPr>
        <b val="1"/>
        <sz val="12"/>
        <color indexed="8"/>
        <rFont val="Barlow"/>
      </rPr>
      <t>PE.2S.GN.GE.PNT.201.00</t>
    </r>
  </si>
  <si>
    <t>Piante dei carichi</t>
  </si>
  <si>
    <r>
      <rPr>
        <b val="1"/>
        <sz val="12"/>
        <color indexed="8"/>
        <rFont val="Barlow"/>
      </rPr>
      <t>PE.2S.GN.GE.PNT.202.00</t>
    </r>
  </si>
  <si>
    <t>Pianta dei fili fissi</t>
  </si>
  <si>
    <r>
      <rPr>
        <b val="1"/>
        <sz val="12"/>
        <color indexed="8"/>
        <rFont val="Barlow"/>
      </rPr>
      <t>PE.2S.GN.GE.PNT.203.00</t>
    </r>
  </si>
  <si>
    <t>Pianta piano interrato</t>
  </si>
  <si>
    <r>
      <rPr>
        <b val="1"/>
        <sz val="12"/>
        <color indexed="8"/>
        <rFont val="Barlow"/>
      </rPr>
      <t>PE.2S.GN.GE.PNT.204.00</t>
    </r>
  </si>
  <si>
    <t>Pianta piano terra</t>
  </si>
  <si>
    <r>
      <rPr>
        <b val="1"/>
        <sz val="12"/>
        <color indexed="8"/>
        <rFont val="Barlow"/>
      </rPr>
      <t>PE.2S.GN.GE.PNT.205.00</t>
    </r>
  </si>
  <si>
    <t>Pianta piano primo</t>
  </si>
  <si>
    <r>
      <rPr>
        <b val="1"/>
        <sz val="12"/>
        <color indexed="8"/>
        <rFont val="Barlow"/>
      </rPr>
      <t>PE.2S.GN.GE.PNT.206.00</t>
    </r>
  </si>
  <si>
    <t>Pianta piano secondo</t>
  </si>
  <si>
    <r>
      <rPr>
        <b val="1"/>
        <sz val="12"/>
        <color indexed="8"/>
        <rFont val="Barlow"/>
      </rPr>
      <t>PE.2S.GN.GE.PNT.207.00</t>
    </r>
  </si>
  <si>
    <t>Pianta piano secondo - Copertura in vetro</t>
  </si>
  <si>
    <r>
      <rPr>
        <b val="1"/>
        <sz val="12"/>
        <color indexed="8"/>
        <rFont val="Barlow"/>
      </rPr>
      <t>PE.2S.GN.GE.PNT.208.00</t>
    </r>
  </si>
  <si>
    <t>Pianta copertura - quota +12,09</t>
  </si>
  <si>
    <r>
      <rPr>
        <b val="1"/>
        <sz val="12"/>
        <color indexed="8"/>
        <rFont val="Barlow"/>
      </rPr>
      <t>PE.2S.GN.GE.PNT.209.00</t>
    </r>
  </si>
  <si>
    <t>Pianta copertura - quota +12,79</t>
  </si>
  <si>
    <r>
      <rPr>
        <b val="1"/>
        <sz val="12"/>
        <color indexed="8"/>
        <rFont val="Barlow"/>
      </rPr>
      <t>PE.2S.GN.GE.PNT.210.00</t>
    </r>
  </si>
  <si>
    <t>Scavi e opere geotecniche</t>
  </si>
  <si>
    <r>
      <rPr>
        <b val="1"/>
        <sz val="12"/>
        <color indexed="8"/>
        <rFont val="Barlow"/>
      </rPr>
      <t>PE.2S.GN.GE.SEZ.211.00</t>
    </r>
  </si>
  <si>
    <t>Sezioni generali edifici 1/2</t>
  </si>
  <si>
    <r>
      <rPr>
        <b val="1"/>
        <sz val="12"/>
        <color indexed="8"/>
        <rFont val="Barlow"/>
      </rPr>
      <t>PE.2S.GN.GE.SEZ.212.00</t>
    </r>
  </si>
  <si>
    <t>Sezioni generali edifici 2/2</t>
  </si>
  <si>
    <t>213</t>
  </si>
  <si>
    <r>
      <rPr>
        <b val="1"/>
        <sz val="12"/>
        <color indexed="8"/>
        <rFont val="Barlow"/>
      </rPr>
      <t>PE.2S.GN.GE.CRP.213.00</t>
    </r>
  </si>
  <si>
    <t>Carpenteria e armatura Platea di fondazione 1/3</t>
  </si>
  <si>
    <t>1:50; 1:20</t>
  </si>
  <si>
    <t>214</t>
  </si>
  <si>
    <r>
      <rPr>
        <b val="1"/>
        <sz val="12"/>
        <color indexed="8"/>
        <rFont val="Barlow"/>
      </rPr>
      <t>PE.2S.GN.GE.CRP.214.00</t>
    </r>
  </si>
  <si>
    <t>Carpenteria e armatura Platea di fondazione 2/3</t>
  </si>
  <si>
    <t>215</t>
  </si>
  <si>
    <r>
      <rPr>
        <b val="1"/>
        <sz val="12"/>
        <color indexed="8"/>
        <rFont val="Barlow"/>
      </rPr>
      <t>PE.2S.GN.GE.CRP.215.00</t>
    </r>
  </si>
  <si>
    <t>Carpenteria e armatura Platea di fondazione 3/3</t>
  </si>
  <si>
    <t>216</t>
  </si>
  <si>
    <r>
      <rPr>
        <b val="1"/>
        <sz val="12"/>
        <color indexed="8"/>
        <rFont val="Barlow"/>
      </rPr>
      <t>PE.2S.GN.GE.CRP.216.00</t>
    </r>
  </si>
  <si>
    <t>Carpenteria e armatura Muri di sostegno</t>
  </si>
  <si>
    <t>217</t>
  </si>
  <si>
    <r>
      <rPr>
        <b val="1"/>
        <sz val="12"/>
        <color indexed="8"/>
        <rFont val="Barlow"/>
      </rPr>
      <t>PE.2S.GN.GE.CRP.217.00</t>
    </r>
  </si>
  <si>
    <t>Carpenteria e armatura Setti in elevazione 1/2</t>
  </si>
  <si>
    <t>218</t>
  </si>
  <si>
    <r>
      <rPr>
        <b val="1"/>
        <sz val="12"/>
        <color indexed="8"/>
        <rFont val="Barlow"/>
      </rPr>
      <t>PE.2S.GN.GE.CRP.218.00</t>
    </r>
  </si>
  <si>
    <t>Carpenteria e armatura Setti in elevazione 2/2</t>
  </si>
  <si>
    <t>219</t>
  </si>
  <si>
    <r>
      <rPr>
        <b val="1"/>
        <sz val="12"/>
        <color indexed="8"/>
        <rFont val="Barlow"/>
      </rPr>
      <t>PE.2S.GN.GE.CRP.219.00</t>
    </r>
  </si>
  <si>
    <t>Carpenteria e Armatura travi prefabbricate</t>
  </si>
  <si>
    <t>220</t>
  </si>
  <si>
    <r>
      <rPr>
        <b val="1"/>
        <sz val="12"/>
        <color indexed="8"/>
        <rFont val="Barlow"/>
      </rPr>
      <t>PE.2S.GN.GE.CRP.220.00</t>
    </r>
  </si>
  <si>
    <t>Carpenteria e Armatura pilastri prefabbricati</t>
  </si>
  <si>
    <t>221</t>
  </si>
  <si>
    <r>
      <rPr>
        <b val="1"/>
        <sz val="12"/>
        <color indexed="8"/>
        <rFont val="Barlow"/>
      </rPr>
      <t>PE.2S.GN.GE.PRO.221.00</t>
    </r>
  </si>
  <si>
    <t>Prospetto 1 e 3 - Vista 2</t>
  </si>
  <si>
    <t>222</t>
  </si>
  <si>
    <r>
      <rPr>
        <b val="1"/>
        <sz val="12"/>
        <color indexed="8"/>
        <rFont val="Barlow"/>
      </rPr>
      <t>PE.2S.GN.GE.DET.222.00</t>
    </r>
  </si>
  <si>
    <t>Dettagli strutture prefabbricate</t>
  </si>
  <si>
    <t>1:20</t>
  </si>
  <si>
    <t>223</t>
  </si>
  <si>
    <r>
      <rPr>
        <b val="1"/>
        <sz val="12"/>
        <color indexed="8"/>
        <rFont val="Barlow"/>
      </rPr>
      <t>PE.2S.GN.GE.PRO.223.00</t>
    </r>
  </si>
  <si>
    <t>Vista 4 e 5 - Prospetto 6 e 7 - Assonometria</t>
  </si>
  <si>
    <t>224</t>
  </si>
  <si>
    <r>
      <rPr>
        <b val="1"/>
        <sz val="12"/>
        <color indexed="8"/>
        <rFont val="Barlow"/>
      </rPr>
      <t>PE.2S.GN.GE.MET.224.00</t>
    </r>
  </si>
  <si>
    <t>Sezioni copertura metallica</t>
  </si>
  <si>
    <t>225</t>
  </si>
  <si>
    <r>
      <rPr>
        <b val="1"/>
        <sz val="12"/>
        <color indexed="8"/>
        <rFont val="Barlow"/>
      </rPr>
      <t>PE.2S.GN.GE.DET.225.00</t>
    </r>
  </si>
  <si>
    <t>Dettgali copertura metallica 1/2</t>
  </si>
  <si>
    <t>226</t>
  </si>
  <si>
    <r>
      <rPr>
        <b val="1"/>
        <sz val="12"/>
        <color indexed="8"/>
        <rFont val="Barlow"/>
      </rPr>
      <t>PE.2S.GN.GE.DET.226.00</t>
    </r>
  </si>
  <si>
    <t>Dettgali copertura metallica 2/2</t>
  </si>
  <si>
    <t>PROGETTO IMPIANTI ELETTRICI E MECCANICI</t>
  </si>
  <si>
    <t>PROGETTO IMPIANTI</t>
  </si>
  <si>
    <r>
      <rPr>
        <b val="1"/>
        <sz val="12"/>
        <color indexed="8"/>
        <rFont val="Barlow"/>
      </rPr>
      <t>PE.3I.GN.PI.PLN.300.00</t>
    </r>
  </si>
  <si>
    <t>Planimetria Impianti Illuminazione - Piano Interrato</t>
  </si>
  <si>
    <r>
      <rPr>
        <b val="1"/>
        <sz val="12"/>
        <color indexed="8"/>
        <rFont val="Barlow"/>
      </rPr>
      <t>PE.3I.GN.P0.PLN.301.00</t>
    </r>
  </si>
  <si>
    <t>Planimetria Impianti Illuminazione - Piano Terra</t>
  </si>
  <si>
    <r>
      <rPr>
        <b val="1"/>
        <sz val="12"/>
        <color indexed="8"/>
        <rFont val="Barlow"/>
      </rPr>
      <t>PE.3I.GN.P1.PLN.302.00</t>
    </r>
  </si>
  <si>
    <t>Planimetria Impianti Illuminazione - Piano Primo</t>
  </si>
  <si>
    <r>
      <rPr>
        <b val="1"/>
        <sz val="12"/>
        <color indexed="8"/>
        <rFont val="Barlow"/>
      </rPr>
      <t>PE.3I.GN.P2.PLN.303.00</t>
    </r>
  </si>
  <si>
    <t>Planimetria Impianti Illuminazione - Piano Secondo</t>
  </si>
  <si>
    <r>
      <rPr>
        <b val="1"/>
        <sz val="12"/>
        <color indexed="8"/>
        <rFont val="Barlow"/>
      </rPr>
      <t>PE.3I.GN.PI.PLN.304.00</t>
    </r>
  </si>
  <si>
    <t>Planimetria Forza Motrice e dati - Piano Interrato</t>
  </si>
  <si>
    <r>
      <rPr>
        <b val="1"/>
        <sz val="12"/>
        <color indexed="8"/>
        <rFont val="Barlow"/>
      </rPr>
      <t>PE.3I.GN.P0.PLN.305.00</t>
    </r>
  </si>
  <si>
    <t>Planimetria Forza Motrice e dati - Piano Terra</t>
  </si>
  <si>
    <r>
      <rPr>
        <b val="1"/>
        <sz val="12"/>
        <color indexed="8"/>
        <rFont val="Barlow"/>
      </rPr>
      <t>PE.3I.GN.P1.PLN.306.00</t>
    </r>
  </si>
  <si>
    <t>Planimetria Forza Motrice e dati - Piano Primo</t>
  </si>
  <si>
    <r>
      <rPr>
        <b val="1"/>
        <sz val="12"/>
        <color indexed="8"/>
        <rFont val="Barlow"/>
      </rPr>
      <t>PE.3I.GN.P2.PLN.307.00</t>
    </r>
  </si>
  <si>
    <t>Planimetria Forza Motrice e dati - Piano Secondo</t>
  </si>
  <si>
    <r>
      <rPr>
        <b val="1"/>
        <sz val="12"/>
        <color indexed="8"/>
        <rFont val="Barlow"/>
      </rPr>
      <t>PE.3I.GN.PI.PLN.308.00</t>
    </r>
  </si>
  <si>
    <t>Impianti Elettrici Planimetria Rivelazione allarme Incendi - Piano Interrato</t>
  </si>
  <si>
    <r>
      <rPr>
        <b val="1"/>
        <sz val="12"/>
        <color indexed="8"/>
        <rFont val="Barlow"/>
      </rPr>
      <t>PE.3I.GN.P0.PLN.309.00</t>
    </r>
  </si>
  <si>
    <t>Impianti Elettrici Planimetria Rivelazioni allarme Incendi - Piano Terra</t>
  </si>
  <si>
    <r>
      <rPr>
        <b val="1"/>
        <sz val="12"/>
        <color indexed="8"/>
        <rFont val="Barlow"/>
      </rPr>
      <t>PE.3I.GN.P1.PLN.310.00</t>
    </r>
  </si>
  <si>
    <t>Impianti Elettrici Planimetria Rivelazioni allarme Incendi - Piano Primo</t>
  </si>
  <si>
    <r>
      <rPr>
        <b val="1"/>
        <sz val="12"/>
        <color indexed="8"/>
        <rFont val="Barlow"/>
      </rPr>
      <t>PE.3I.GN.P2.PLN.311.00</t>
    </r>
  </si>
  <si>
    <t>Impianti Elettrici Planimetria Rivelazioni allarme Incendi - Piano Secondo</t>
  </si>
  <si>
    <r>
      <rPr>
        <b val="1"/>
        <sz val="12"/>
        <color indexed="8"/>
        <rFont val="Barlow"/>
      </rPr>
      <t>PE.3I.GN.GE.SCH.312.00</t>
    </r>
  </si>
  <si>
    <t>Schema a blocchi impianti elettrici</t>
  </si>
  <si>
    <t>313</t>
  </si>
  <si>
    <r>
      <rPr>
        <b val="1"/>
        <sz val="12"/>
        <color indexed="8"/>
        <rFont val="Barlow"/>
      </rPr>
      <t>PE.3I.GN.GE.SCH.313.00</t>
    </r>
  </si>
  <si>
    <t>Schemi elettrici unifilari</t>
  </si>
  <si>
    <t>314</t>
  </si>
  <si>
    <r>
      <rPr>
        <b val="1"/>
        <sz val="12"/>
        <color indexed="8"/>
        <rFont val="Barlow"/>
      </rPr>
      <t>PE.3I.GN.GE.SCH.314.00</t>
    </r>
  </si>
  <si>
    <t>Schemi e particolari Impianto BMS</t>
  </si>
  <si>
    <t>315</t>
  </si>
  <si>
    <r>
      <rPr>
        <b val="1"/>
        <sz val="12"/>
        <color indexed="8"/>
        <rFont val="Barlow"/>
      </rPr>
      <t>PE.3I.GN.GE.SCH.315.00</t>
    </r>
  </si>
  <si>
    <t>Schema Funzionale Impianti Meccanici</t>
  </si>
  <si>
    <t>316</t>
  </si>
  <si>
    <r>
      <rPr>
        <b val="1"/>
        <sz val="12"/>
        <color indexed="8"/>
        <rFont val="Barlow"/>
      </rPr>
      <t>PE.3I.GN.PI.PLN.316.00</t>
    </r>
  </si>
  <si>
    <t>Parte Aeraulica Planimetria - Piano Interrato</t>
  </si>
  <si>
    <t>317</t>
  </si>
  <si>
    <r>
      <rPr>
        <b val="1"/>
        <sz val="12"/>
        <color indexed="8"/>
        <rFont val="Barlow"/>
      </rPr>
      <t>PE.3I.GN.P0.PLN.317.00</t>
    </r>
  </si>
  <si>
    <t>Parte Aeraulica Planimetria - Piano Terra</t>
  </si>
  <si>
    <t>318</t>
  </si>
  <si>
    <r>
      <rPr>
        <b val="1"/>
        <sz val="12"/>
        <color indexed="8"/>
        <rFont val="Barlow"/>
      </rPr>
      <t>PE.3I.GN.P1.PLN.318.00</t>
    </r>
  </si>
  <si>
    <t>Parte Aeraulica Planimetria - Piano Primo</t>
  </si>
  <si>
    <t>319</t>
  </si>
  <si>
    <r>
      <rPr>
        <b val="1"/>
        <sz val="12"/>
        <color indexed="8"/>
        <rFont val="Barlow"/>
      </rPr>
      <t>PE.3I.GN.P2.PLN.319.00</t>
    </r>
  </si>
  <si>
    <t>Parte Aeraulica Planimetria - Piano Secondo</t>
  </si>
  <si>
    <t>320</t>
  </si>
  <si>
    <r>
      <rPr>
        <b val="1"/>
        <sz val="12"/>
        <color indexed="8"/>
        <rFont val="Barlow"/>
      </rPr>
      <t>PE.3I.GN.PI.PLN.320.00</t>
    </r>
  </si>
  <si>
    <t>Parte Idronica Planimetria - Piano Interrato</t>
  </si>
  <si>
    <t>321</t>
  </si>
  <si>
    <r>
      <rPr>
        <b val="1"/>
        <sz val="12"/>
        <color indexed="8"/>
        <rFont val="Barlow"/>
      </rPr>
      <t>PE.3I.GN.P0.PLN.321.00</t>
    </r>
  </si>
  <si>
    <t>Parte Idronica Planimetria - Piano Terra</t>
  </si>
  <si>
    <t>322</t>
  </si>
  <si>
    <r>
      <rPr>
        <b val="1"/>
        <sz val="12"/>
        <color indexed="8"/>
        <rFont val="Barlow"/>
      </rPr>
      <t>PE.3I.GN.P1.PLN.322.00</t>
    </r>
  </si>
  <si>
    <t>Parte Idronica Planimetria - Piano Primo</t>
  </si>
  <si>
    <t>323</t>
  </si>
  <si>
    <r>
      <rPr>
        <b val="1"/>
        <sz val="12"/>
        <color indexed="8"/>
        <rFont val="Barlow"/>
      </rPr>
      <t>PE.3I.GN.P2.PLN.323.00</t>
    </r>
  </si>
  <si>
    <t>Parte Idronica Planimetria - Piano Secondo</t>
  </si>
  <si>
    <t>324</t>
  </si>
  <si>
    <r>
      <rPr>
        <b val="1"/>
        <sz val="12"/>
        <color indexed="8"/>
        <rFont val="Barlow"/>
      </rPr>
      <t>PE.3I.GN.GE.PLN.324.00</t>
    </r>
  </si>
  <si>
    <t>Planimetria Esterni Sonde Geotermiche</t>
  </si>
  <si>
    <t>325</t>
  </si>
  <si>
    <r>
      <rPr>
        <b val="1"/>
        <sz val="12"/>
        <color indexed="8"/>
        <rFont val="Barlow"/>
      </rPr>
      <t>PE.3I.GN.PI.PLN.325.00</t>
    </r>
  </si>
  <si>
    <t>Parte idrico sanitaria e idrica antincendio Planimetria - Piano Interrato</t>
  </si>
  <si>
    <t>326</t>
  </si>
  <si>
    <r>
      <rPr>
        <b val="1"/>
        <sz val="12"/>
        <color indexed="8"/>
        <rFont val="Barlow"/>
      </rPr>
      <t>PE.3I.GN.P0.PLN.326.00</t>
    </r>
  </si>
  <si>
    <t>Parte idrico sanitaria e idrica antincendio Planimetria - Piano Terra</t>
  </si>
  <si>
    <t>327</t>
  </si>
  <si>
    <r>
      <rPr>
        <b val="1"/>
        <sz val="12"/>
        <color indexed="8"/>
        <rFont val="Barlow"/>
      </rPr>
      <t>PE.3I.GN.P1.PLN.327.00</t>
    </r>
  </si>
  <si>
    <t>Parte idrico sanitaria e idrica antincendio Planimetria - Piano Primo</t>
  </si>
  <si>
    <t>328</t>
  </si>
  <si>
    <r>
      <rPr>
        <b val="1"/>
        <sz val="12"/>
        <color indexed="8"/>
        <rFont val="Barlow"/>
      </rPr>
      <t>PE.3I.GN.P2.PLN.328.00</t>
    </r>
  </si>
  <si>
    <t>Parte idrico sanitaria e idrica antincendio Planimetria - Piano Secondo</t>
  </si>
  <si>
    <t>329</t>
  </si>
  <si>
    <r>
      <rPr>
        <b val="1"/>
        <sz val="12"/>
        <color indexed="8"/>
        <rFont val="Barlow"/>
      </rPr>
      <t>PE.3I.GN.GE.SCH.329.00</t>
    </r>
  </si>
  <si>
    <t>Schema Funzionale Impianti idrici antincendio</t>
  </si>
  <si>
    <t>330</t>
  </si>
  <si>
    <r>
      <rPr>
        <b val="1"/>
        <sz val="12"/>
        <color indexed="8"/>
        <rFont val="Barlow"/>
      </rPr>
      <t>PE.3I.GN.GE.SCH.330.00</t>
    </r>
  </si>
  <si>
    <t>Schema Funzionale contabilizzazione calore</t>
  </si>
  <si>
    <t>SICUREZZA</t>
  </si>
  <si>
    <t>PROGETTO SICUREZZA</t>
  </si>
  <si>
    <t>400</t>
  </si>
  <si>
    <r>
      <rPr>
        <b val="1"/>
        <sz val="12"/>
        <color indexed="8"/>
        <rFont val="Barlow"/>
      </rPr>
      <t>PE.4S.GN.GE.PNT.400.00</t>
    </r>
  </si>
  <si>
    <t>Layout di cantiere</t>
  </si>
  <si>
    <t>401</t>
  </si>
  <si>
    <r>
      <rPr>
        <b val="1"/>
        <sz val="12"/>
        <color indexed="8"/>
        <rFont val="Barlow"/>
      </rPr>
      <t>PE.4S.GN.GE.PNT.401.00</t>
    </r>
  </si>
  <si>
    <t>Piano della sicurezza e coordinamento</t>
  </si>
  <si>
    <t>402</t>
  </si>
  <si>
    <r>
      <rPr>
        <b val="1"/>
        <sz val="12"/>
        <color indexed="8"/>
        <rFont val="Barlow"/>
      </rPr>
      <t>PE.4S.GN.GE.PNT.402.00</t>
    </r>
  </si>
  <si>
    <t xml:space="preserve">Fascicolo della sicurezza </t>
  </si>
  <si>
    <t>PREVENZIONE INCENDI</t>
  </si>
  <si>
    <t>800</t>
  </si>
  <si>
    <r>
      <rPr>
        <b val="1"/>
        <sz val="12"/>
        <color indexed="8"/>
        <rFont val="Barlow"/>
      </rPr>
      <t>PE.8PI.GN.PI.PNT.800.00</t>
    </r>
  </si>
  <si>
    <t>Prevenzione incendi - Piano Interrato</t>
  </si>
  <si>
    <t>801</t>
  </si>
  <si>
    <r>
      <rPr>
        <b val="1"/>
        <sz val="12"/>
        <color indexed="8"/>
        <rFont val="Barlow"/>
      </rPr>
      <t>PE.8PI.GN.P0.PNT.801.00</t>
    </r>
  </si>
  <si>
    <t>Prevenzione incendi - Piano Terra</t>
  </si>
  <si>
    <t>802</t>
  </si>
  <si>
    <r>
      <rPr>
        <b val="1"/>
        <sz val="12"/>
        <color indexed="8"/>
        <rFont val="Barlow"/>
      </rPr>
      <t>PE.8PI.GN.P1.PNT.802.00</t>
    </r>
  </si>
  <si>
    <t>Prevenzione incendi - Piano Primo</t>
  </si>
  <si>
    <t>803</t>
  </si>
  <si>
    <r>
      <rPr>
        <b val="1"/>
        <sz val="12"/>
        <color indexed="8"/>
        <rFont val="Barlow"/>
      </rPr>
      <t>PE.8PI.GN.P2.PNT.803.00</t>
    </r>
  </si>
  <si>
    <t>Prevenzione incendi - Piano Secondo</t>
  </si>
</sst>
</file>

<file path=xl/styles.xml><?xml version="1.0" encoding="utf-8"?>
<styleSheet xmlns="http://schemas.openxmlformats.org/spreadsheetml/2006/main">
  <numFmts count="1">
    <numFmt numFmtId="0" formatCode="General"/>
  </numFmts>
  <fonts count="26">
    <font>
      <sz val="11"/>
      <color indexed="8"/>
      <name val="Calibri"/>
    </font>
    <font>
      <sz val="12"/>
      <color indexed="8"/>
      <name val="Helvetica Neue"/>
    </font>
    <font>
      <sz val="15"/>
      <color indexed="8"/>
      <name val="Calibri"/>
    </font>
    <font>
      <sz val="12"/>
      <color indexed="8"/>
      <name val="Calibri"/>
    </font>
    <font>
      <sz val="14"/>
      <color indexed="8"/>
      <name val="Calibri"/>
    </font>
    <font>
      <u val="single"/>
      <sz val="12"/>
      <color indexed="13"/>
      <name val="Calibri"/>
    </font>
    <font>
      <b val="1"/>
      <sz val="9"/>
      <color indexed="8"/>
      <name val="Barlow"/>
    </font>
    <font>
      <sz val="10"/>
      <color indexed="8"/>
      <name val="Barlow"/>
    </font>
    <font>
      <sz val="11"/>
      <color indexed="8"/>
      <name val="Barlow"/>
    </font>
    <font>
      <sz val="10"/>
      <color indexed="8"/>
      <name val="Arial"/>
    </font>
    <font>
      <sz val="11"/>
      <color indexed="8"/>
      <name val="Arial Narrow"/>
    </font>
    <font>
      <b val="1"/>
      <sz val="11"/>
      <color indexed="8"/>
      <name val="Arial Narrow"/>
    </font>
    <font>
      <b val="1"/>
      <sz val="16"/>
      <color indexed="8"/>
      <name val="Barlow"/>
    </font>
    <font>
      <b val="1"/>
      <sz val="12"/>
      <color indexed="8"/>
      <name val="Barlow"/>
    </font>
    <font>
      <b val="1"/>
      <sz val="12"/>
      <color indexed="9"/>
      <name val="Barlow"/>
    </font>
    <font>
      <sz val="9"/>
      <color indexed="19"/>
      <name val="Barlow"/>
    </font>
    <font>
      <sz val="10"/>
      <color indexed="19"/>
      <name val="Barlow"/>
    </font>
    <font>
      <sz val="12"/>
      <color indexed="8"/>
      <name val="Barlow"/>
    </font>
    <font>
      <sz val="12"/>
      <color indexed="9"/>
      <name val="Barlow"/>
    </font>
    <font>
      <i val="1"/>
      <sz val="9"/>
      <color indexed="19"/>
      <name val="Barlow"/>
    </font>
    <font>
      <i val="1"/>
      <sz val="12"/>
      <color indexed="8"/>
      <name val="Barlow"/>
    </font>
    <font>
      <i val="1"/>
      <sz val="12"/>
      <color indexed="9"/>
      <name val="Barlow"/>
    </font>
    <font>
      <sz val="12"/>
      <color indexed="22"/>
      <name val="Barlow"/>
    </font>
    <font>
      <b val="1"/>
      <sz val="8"/>
      <color indexed="8"/>
      <name val="Barlow"/>
    </font>
    <font>
      <sz val="12"/>
      <color indexed="18"/>
      <name val="Barlow"/>
    </font>
    <font>
      <sz val="9"/>
      <color indexed="8"/>
      <name val="Barlow"/>
    </font>
  </fonts>
  <fills count="10">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20"/>
        <bgColor auto="1"/>
      </patternFill>
    </fill>
    <fill>
      <patternFill patternType="solid">
        <fgColor indexed="21"/>
        <bgColor auto="1"/>
      </patternFill>
    </fill>
  </fills>
  <borders count="85">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10"/>
      </left>
      <right style="medium">
        <color indexed="8"/>
      </right>
      <top style="medium">
        <color indexed="8"/>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medium">
        <color indexed="8"/>
      </top>
      <bottom style="thin">
        <color indexed="10"/>
      </bottom>
      <diagonal/>
    </border>
    <border>
      <left style="medium">
        <color indexed="8"/>
      </left>
      <right style="thin">
        <color indexed="8"/>
      </right>
      <top style="thin">
        <color indexed="8"/>
      </top>
      <bottom style="thin">
        <color indexed="10"/>
      </bottom>
      <diagonal/>
    </border>
    <border>
      <left style="thin">
        <color indexed="8"/>
      </left>
      <right style="medium">
        <color indexed="8"/>
      </right>
      <top style="thin">
        <color indexed="8"/>
      </top>
      <bottom style="thin">
        <color indexed="10"/>
      </bottom>
      <diagonal/>
    </border>
    <border>
      <left style="medium">
        <color indexed="8"/>
      </left>
      <right style="thin">
        <color indexed="8"/>
      </right>
      <top style="thin">
        <color indexed="10"/>
      </top>
      <bottom style="thin">
        <color indexed="10"/>
      </bottom>
      <diagonal/>
    </border>
    <border>
      <left style="thin">
        <color indexed="8"/>
      </left>
      <right style="medium">
        <color indexed="8"/>
      </right>
      <top style="thin">
        <color indexed="10"/>
      </top>
      <bottom style="thin">
        <color indexed="10"/>
      </bottom>
      <diagonal/>
    </border>
    <border>
      <left style="medium">
        <color indexed="8"/>
      </left>
      <right style="thin">
        <color indexed="8"/>
      </right>
      <top style="thin">
        <color indexed="10"/>
      </top>
      <bottom style="medium">
        <color indexed="8"/>
      </bottom>
      <diagonal/>
    </border>
    <border>
      <left style="thin">
        <color indexed="8"/>
      </left>
      <right style="medium">
        <color indexed="8"/>
      </right>
      <top style="thin">
        <color indexed="10"/>
      </top>
      <bottom style="medium">
        <color indexed="8"/>
      </bottom>
      <diagonal/>
    </border>
    <border>
      <left style="medium">
        <color indexed="8"/>
      </left>
      <right/>
      <top style="medium">
        <color indexed="8"/>
      </top>
      <bottom style="thin">
        <color indexed="15"/>
      </bottom>
      <diagonal/>
    </border>
    <border>
      <left/>
      <right/>
      <top style="medium">
        <color indexed="8"/>
      </top>
      <bottom style="thin">
        <color indexed="15"/>
      </bottom>
      <diagonal/>
    </border>
    <border>
      <left/>
      <right style="medium">
        <color indexed="8"/>
      </right>
      <top style="medium">
        <color indexed="8"/>
      </top>
      <bottom style="thin">
        <color indexed="15"/>
      </bottom>
      <diagonal/>
    </border>
    <border>
      <left style="medium">
        <color indexed="8"/>
      </left>
      <right style="medium">
        <color indexed="8"/>
      </right>
      <top style="medium">
        <color indexed="8"/>
      </top>
      <bottom style="thin">
        <color indexed="15"/>
      </bottom>
      <diagonal/>
    </border>
    <border>
      <left style="medium">
        <color indexed="8"/>
      </left>
      <right style="thin">
        <color indexed="15"/>
      </right>
      <top style="medium">
        <color indexed="8"/>
      </top>
      <bottom/>
      <diagonal/>
    </border>
    <border>
      <left style="thin">
        <color indexed="15"/>
      </left>
      <right style="thin">
        <color indexed="15"/>
      </right>
      <top style="medium">
        <color indexed="8"/>
      </top>
      <bottom/>
      <diagonal/>
    </border>
    <border>
      <left style="thin">
        <color indexed="15"/>
      </left>
      <right style="medium">
        <color indexed="8"/>
      </right>
      <top style="medium">
        <color indexed="8"/>
      </top>
      <bottom/>
      <diagonal/>
    </border>
    <border>
      <left style="medium">
        <color indexed="8"/>
      </left>
      <right/>
      <top style="thin">
        <color indexed="15"/>
      </top>
      <bottom style="thin">
        <color indexed="15"/>
      </bottom>
      <diagonal/>
    </border>
    <border>
      <left/>
      <right/>
      <top style="thin">
        <color indexed="15"/>
      </top>
      <bottom style="thin">
        <color indexed="15"/>
      </bottom>
      <diagonal/>
    </border>
    <border>
      <left/>
      <right style="medium">
        <color indexed="8"/>
      </right>
      <top style="thin">
        <color indexed="15"/>
      </top>
      <bottom style="thin">
        <color indexed="15"/>
      </bottom>
      <diagonal/>
    </border>
    <border>
      <left style="medium">
        <color indexed="8"/>
      </left>
      <right style="medium">
        <color indexed="8"/>
      </right>
      <top style="thin">
        <color indexed="15"/>
      </top>
      <bottom style="thin">
        <color indexed="15"/>
      </bottom>
      <diagonal/>
    </border>
    <border>
      <left style="medium">
        <color indexed="8"/>
      </left>
      <right style="thin">
        <color indexed="15"/>
      </right>
      <top/>
      <bottom/>
      <diagonal/>
    </border>
    <border>
      <left style="thin">
        <color indexed="15"/>
      </left>
      <right style="thin">
        <color indexed="15"/>
      </right>
      <top/>
      <bottom/>
      <diagonal/>
    </border>
    <border>
      <left style="thin">
        <color indexed="15"/>
      </left>
      <right style="medium">
        <color indexed="8"/>
      </right>
      <top/>
      <bottom/>
      <diagonal/>
    </border>
    <border>
      <left style="medium">
        <color indexed="8"/>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8"/>
      </bottom>
      <diagonal/>
    </border>
    <border>
      <left style="thin">
        <color indexed="15"/>
      </left>
      <right style="medium">
        <color indexed="8"/>
      </right>
      <top style="thin">
        <color indexed="15"/>
      </top>
      <bottom style="thin">
        <color indexed="18"/>
      </bottom>
      <diagonal/>
    </border>
    <border>
      <left style="medium">
        <color indexed="8"/>
      </left>
      <right style="thin">
        <color indexed="15"/>
      </right>
      <top/>
      <bottom style="thin">
        <color indexed="15"/>
      </bottom>
      <diagonal/>
    </border>
    <border>
      <left style="thin">
        <color indexed="15"/>
      </left>
      <right style="thin">
        <color indexed="15"/>
      </right>
      <top/>
      <bottom style="thin">
        <color indexed="15"/>
      </bottom>
      <diagonal/>
    </border>
    <border>
      <left style="thin">
        <color indexed="15"/>
      </left>
      <right style="medium">
        <color indexed="8"/>
      </right>
      <top/>
      <bottom style="thin">
        <color indexed="15"/>
      </bottom>
      <diagonal/>
    </border>
    <border>
      <left style="medium">
        <color indexed="8"/>
      </left>
      <right style="thin">
        <color indexed="18"/>
      </right>
      <top style="thin">
        <color indexed="15"/>
      </top>
      <bottom style="thin">
        <color indexed="15"/>
      </bottom>
      <diagonal/>
    </border>
    <border>
      <left style="thin">
        <color indexed="18"/>
      </left>
      <right style="thin">
        <color indexed="18"/>
      </right>
      <top style="thin">
        <color indexed="18"/>
      </top>
      <bottom style="thin">
        <color indexed="18"/>
      </bottom>
      <diagonal/>
    </border>
    <border>
      <left style="thin">
        <color indexed="18"/>
      </left>
      <right style="medium">
        <color indexed="8"/>
      </right>
      <top style="thin">
        <color indexed="18"/>
      </top>
      <bottom style="thin">
        <color indexed="18"/>
      </bottom>
      <diagonal/>
    </border>
    <border>
      <left style="thin">
        <color indexed="15"/>
      </left>
      <right style="thin">
        <color indexed="15"/>
      </right>
      <top style="thin">
        <color indexed="15"/>
      </top>
      <bottom style="thin">
        <color indexed="15"/>
      </bottom>
      <diagonal/>
    </border>
    <border>
      <left style="thin">
        <color indexed="15"/>
      </left>
      <right style="medium">
        <color indexed="8"/>
      </right>
      <top style="thin">
        <color indexed="15"/>
      </top>
      <bottom style="thin">
        <color indexed="15"/>
      </bottom>
      <diagonal/>
    </border>
    <border>
      <left style="medium">
        <color indexed="8"/>
      </left>
      <right style="thin">
        <color indexed="18"/>
      </right>
      <top style="thin">
        <color indexed="15"/>
      </top>
      <bottom style="thin">
        <color indexed="8"/>
      </bottom>
      <diagonal/>
    </border>
    <border>
      <left style="medium">
        <color indexed="8"/>
      </left>
      <right style="thin">
        <color indexed="18"/>
      </right>
      <top style="thin">
        <color indexed="8"/>
      </top>
      <bottom style="thin">
        <color indexed="15"/>
      </bottom>
      <diagonal/>
    </border>
    <border>
      <left style="medium">
        <color indexed="8"/>
      </left>
      <right style="thin">
        <color indexed="15"/>
      </right>
      <top style="thin">
        <color indexed="15"/>
      </top>
      <bottom style="thin">
        <color indexed="8"/>
      </bottom>
      <diagonal/>
    </border>
    <border>
      <left style="thin">
        <color indexed="15"/>
      </left>
      <right style="thin">
        <color indexed="15"/>
      </right>
      <top style="thin">
        <color indexed="15"/>
      </top>
      <bottom style="thin">
        <color indexed="8"/>
      </bottom>
      <diagonal/>
    </border>
    <border>
      <left style="thin">
        <color indexed="15"/>
      </left>
      <right style="medium">
        <color indexed="8"/>
      </right>
      <top style="thin">
        <color indexed="15"/>
      </top>
      <bottom style="thin">
        <color indexed="8"/>
      </bottom>
      <diagonal/>
    </border>
    <border>
      <left style="medium">
        <color indexed="8"/>
      </left>
      <right/>
      <top style="thin">
        <color indexed="8"/>
      </top>
      <bottom style="thin">
        <color indexed="8"/>
      </bottom>
      <diagonal/>
    </border>
    <border>
      <left/>
      <right/>
      <top style="thin">
        <color indexed="18"/>
      </top>
      <bottom style="thin">
        <color indexed="18"/>
      </bottom>
      <diagonal/>
    </border>
    <border>
      <left/>
      <right style="medium">
        <color indexed="8"/>
      </right>
      <top style="thin">
        <color indexed="18"/>
      </top>
      <bottom style="thin">
        <color indexed="1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15"/>
      </right>
      <top style="thin">
        <color indexed="8"/>
      </top>
      <bottom style="thin">
        <color indexed="15"/>
      </bottom>
      <diagonal/>
    </border>
    <border>
      <left style="thin">
        <color indexed="15"/>
      </left>
      <right style="thin">
        <color indexed="15"/>
      </right>
      <top style="thin">
        <color indexed="8"/>
      </top>
      <bottom style="thin">
        <color indexed="15"/>
      </bottom>
      <diagonal/>
    </border>
    <border>
      <left style="thin">
        <color indexed="15"/>
      </left>
      <right style="medium">
        <color indexed="8"/>
      </right>
      <top style="thin">
        <color indexed="8"/>
      </top>
      <bottom style="thin">
        <color indexed="15"/>
      </bottom>
      <diagonal/>
    </border>
    <border>
      <left style="medium">
        <color indexed="8"/>
      </left>
      <right/>
      <top style="thin">
        <color indexed="8"/>
      </top>
      <bottom style="thin">
        <color indexed="15"/>
      </bottom>
      <diagonal/>
    </border>
    <border>
      <left style="thin">
        <color indexed="8"/>
      </left>
      <right style="thin">
        <color indexed="8"/>
      </right>
      <top style="thin">
        <color indexed="18"/>
      </top>
      <bottom style="thin">
        <color indexed="18"/>
      </bottom>
      <diagonal/>
    </border>
    <border>
      <left style="thin">
        <color indexed="8"/>
      </left>
      <right style="thin">
        <color indexed="8"/>
      </right>
      <top style="thin">
        <color indexed="15"/>
      </top>
      <bottom style="thin">
        <color indexed="15"/>
      </bottom>
      <diagonal/>
    </border>
    <border>
      <left style="thin">
        <color indexed="8"/>
      </left>
      <right style="thin">
        <color indexed="8"/>
      </right>
      <top style="thin">
        <color indexed="8"/>
      </top>
      <bottom style="thin">
        <color indexed="8"/>
      </bottom>
      <diagonal/>
    </border>
    <border>
      <left/>
      <right style="thin">
        <color indexed="10"/>
      </right>
      <top style="thin">
        <color indexed="8"/>
      </top>
      <bottom style="thin">
        <color indexed="8"/>
      </bottom>
      <diagonal/>
    </border>
    <border>
      <left style="thin">
        <color indexed="8"/>
      </left>
      <right style="thin">
        <color indexed="10"/>
      </right>
      <top style="thin">
        <color indexed="15"/>
      </top>
      <bottom style="thin">
        <color indexed="15"/>
      </bottom>
      <diagonal/>
    </border>
    <border>
      <left style="thin">
        <color indexed="10"/>
      </left>
      <right style="thin">
        <color indexed="10"/>
      </right>
      <top style="thin">
        <color indexed="8"/>
      </top>
      <bottom style="thin">
        <color indexed="8"/>
      </bottom>
      <diagonal/>
    </border>
    <border>
      <left style="medium">
        <color indexed="8"/>
      </left>
      <right style="thin">
        <color indexed="18"/>
      </right>
      <top style="thin">
        <color indexed="8"/>
      </top>
      <bottom style="thin">
        <color indexed="8"/>
      </bottom>
      <diagonal/>
    </border>
    <border>
      <left style="medium">
        <color indexed="8"/>
      </left>
      <right style="thin">
        <color indexed="15"/>
      </right>
      <top style="thin">
        <color indexed="8"/>
      </top>
      <bottom style="thin">
        <color indexed="8"/>
      </bottom>
      <diagonal/>
    </border>
    <border>
      <left style="thin">
        <color indexed="15"/>
      </left>
      <right style="thin">
        <color indexed="15"/>
      </right>
      <top style="thin">
        <color indexed="8"/>
      </top>
      <bottom style="thin">
        <color indexed="8"/>
      </bottom>
      <diagonal/>
    </border>
    <border>
      <left style="thin">
        <color indexed="15"/>
      </left>
      <right style="medium">
        <color indexed="8"/>
      </right>
      <top style="thin">
        <color indexed="8"/>
      </top>
      <bottom style="thin">
        <color indexed="8"/>
      </bottom>
      <diagonal/>
    </border>
    <border>
      <left style="medium">
        <color indexed="8"/>
      </left>
      <right style="thin">
        <color indexed="18"/>
      </right>
      <top style="thin">
        <color indexed="8"/>
      </top>
      <bottom style="medium">
        <color indexed="8"/>
      </bottom>
      <diagonal/>
    </border>
    <border>
      <left style="thin">
        <color indexed="18"/>
      </left>
      <right style="thin">
        <color indexed="18"/>
      </right>
      <top style="thin">
        <color indexed="18"/>
      </top>
      <bottom style="medium">
        <color indexed="8"/>
      </bottom>
      <diagonal/>
    </border>
    <border>
      <left style="thin">
        <color indexed="18"/>
      </left>
      <right style="medium">
        <color indexed="8"/>
      </right>
      <top style="thin">
        <color indexed="18"/>
      </top>
      <bottom style="medium">
        <color indexed="8"/>
      </bottom>
      <diagonal/>
    </border>
    <border>
      <left style="medium">
        <color indexed="8"/>
      </left>
      <right style="medium">
        <color indexed="8"/>
      </right>
      <top style="thin">
        <color indexed="15"/>
      </top>
      <bottom style="medium">
        <color indexed="8"/>
      </bottom>
      <diagonal/>
    </border>
    <border>
      <left style="medium">
        <color indexed="8"/>
      </left>
      <right style="thin">
        <color indexed="15"/>
      </right>
      <top style="thin">
        <color indexed="8"/>
      </top>
      <bottom style="medium">
        <color indexed="8"/>
      </bottom>
      <diagonal/>
    </border>
    <border>
      <left style="thin">
        <color indexed="15"/>
      </left>
      <right style="thin">
        <color indexed="15"/>
      </right>
      <top style="thin">
        <color indexed="8"/>
      </top>
      <bottom style="medium">
        <color indexed="8"/>
      </bottom>
      <diagonal/>
    </border>
    <border>
      <left style="thin">
        <color indexed="15"/>
      </left>
      <right style="medium">
        <color indexed="8"/>
      </right>
      <top style="thin">
        <color indexed="8"/>
      </top>
      <bottom style="medium">
        <color indexed="8"/>
      </bottom>
      <diagonal/>
    </border>
  </borders>
  <cellStyleXfs count="1">
    <xf numFmtId="0" fontId="0" applyNumberFormat="0" applyFont="1" applyFill="0" applyBorder="0" applyAlignment="1" applyProtection="0">
      <alignment vertical="bottom"/>
    </xf>
  </cellStyleXfs>
  <cellXfs count="17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49" fontId="3" fillId="2" borderId="5" applyNumberFormat="1" applyFont="1" applyFill="1" applyBorder="1" applyAlignment="1" applyProtection="0">
      <alignment horizontal="left" vertical="bottom" wrapText="1"/>
    </xf>
    <xf numFmtId="49" fontId="4" fillId="2" borderId="5" applyNumberFormat="1" applyFont="1" applyFill="1" applyBorder="1" applyAlignment="1" applyProtection="0">
      <alignment horizontal="left" vertical="bottom"/>
    </xf>
    <xf numFmtId="49" fontId="3" fillId="3" borderId="5" applyNumberFormat="1" applyFont="1" applyFill="1" applyBorder="1" applyAlignment="1" applyProtection="0">
      <alignment horizontal="left" vertical="bottom"/>
    </xf>
    <xf numFmtId="0" fontId="3" fillId="3" borderId="5" applyNumberFormat="0" applyFont="1" applyFill="1" applyBorder="1" applyAlignment="1" applyProtection="0">
      <alignment horizontal="left" vertical="bottom"/>
    </xf>
    <xf numFmtId="0" fontId="3" fillId="4" borderId="5" applyNumberFormat="0" applyFont="1" applyFill="1" applyBorder="1" applyAlignment="1" applyProtection="0">
      <alignment horizontal="left" vertical="bottom"/>
    </xf>
    <xf numFmtId="49" fontId="3" fillId="4" borderId="5" applyNumberFormat="1" applyFont="1" applyFill="1" applyBorder="1" applyAlignment="1" applyProtection="0">
      <alignment horizontal="left" vertical="bottom"/>
    </xf>
    <xf numFmtId="49" fontId="5" fillId="4" borderId="5" applyNumberFormat="1" applyFont="1" applyFill="1" applyBorder="1" applyAlignment="1" applyProtection="0">
      <alignment horizontal="left" vertical="bottom"/>
    </xf>
    <xf numFmtId="0" fontId="0" fillId="2" borderId="7" applyNumberFormat="0" applyFont="1" applyFill="1" applyBorder="1" applyAlignment="1" applyProtection="0">
      <alignment vertical="bottom"/>
    </xf>
    <xf numFmtId="0" fontId="3" fillId="4" borderId="8" applyNumberFormat="0" applyFont="1" applyFill="1" applyBorder="1" applyAlignment="1" applyProtection="0">
      <alignment horizontal="left" vertical="bottom"/>
    </xf>
    <xf numFmtId="49" fontId="3" fillId="4" borderId="8" applyNumberFormat="1" applyFont="1" applyFill="1" applyBorder="1" applyAlignment="1" applyProtection="0">
      <alignment horizontal="left" vertical="bottom"/>
    </xf>
    <xf numFmtId="49" fontId="5" fillId="4" borderId="8" applyNumberFormat="1" applyFont="1" applyFill="1" applyBorder="1" applyAlignment="1" applyProtection="0">
      <alignment horizontal="left" vertical="bottom"/>
    </xf>
    <xf numFmtId="0" fontId="0" fillId="2"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2" borderId="10" applyNumberFormat="1" applyFont="1" applyFill="1" applyBorder="1" applyAlignment="1" applyProtection="0">
      <alignment horizontal="center" vertical="center" wrapText="1"/>
    </xf>
    <xf numFmtId="49" fontId="6" fillId="2" borderId="11" applyNumberFormat="1" applyFont="1" applyFill="1" applyBorder="1" applyAlignment="1" applyProtection="0">
      <alignment horizontal="center" vertical="center" wrapText="1"/>
    </xf>
    <xf numFmtId="0" fontId="6" fillId="2" borderId="12" applyNumberFormat="0" applyFont="1" applyFill="1" applyBorder="1" applyAlignment="1" applyProtection="0">
      <alignment horizontal="center" vertical="center" wrapText="1"/>
    </xf>
    <xf numFmtId="49" fontId="6" fillId="2" borderId="13" applyNumberFormat="1" applyFont="1" applyFill="1" applyBorder="1" applyAlignment="1" applyProtection="0">
      <alignment horizontal="center" vertical="center" wrapText="1"/>
    </xf>
    <xf numFmtId="0" fontId="6" fillId="2" borderId="14" applyNumberFormat="0" applyFont="1" applyFill="1" applyBorder="1" applyAlignment="1" applyProtection="0">
      <alignment horizontal="center" vertical="center" wrapText="1"/>
    </xf>
    <xf numFmtId="49" fontId="7" fillId="2" borderId="10" applyNumberFormat="1" applyFont="1" applyFill="1" applyBorder="1" applyAlignment="1" applyProtection="0">
      <alignment horizontal="center" vertical="center"/>
    </xf>
    <xf numFmtId="49" fontId="7" fillId="2" borderId="15" applyNumberFormat="1" applyFont="1" applyFill="1" applyBorder="1" applyAlignment="1" applyProtection="0">
      <alignment horizontal="center" vertical="center" wrapText="1"/>
    </xf>
    <xf numFmtId="49" fontId="7" fillId="2" borderId="16" applyNumberFormat="1" applyFont="1" applyFill="1" applyBorder="1" applyAlignment="1" applyProtection="0">
      <alignment horizontal="center" vertical="center" wrapText="1"/>
    </xf>
    <xf numFmtId="49" fontId="7" fillId="2" borderId="11" applyNumberFormat="1" applyFont="1" applyFill="1" applyBorder="1" applyAlignment="1" applyProtection="0">
      <alignment horizontal="center" vertical="center" wrapText="1"/>
    </xf>
    <xf numFmtId="49" fontId="7" fillId="2" borderId="12" applyNumberFormat="1" applyFont="1" applyFill="1" applyBorder="1" applyAlignment="1" applyProtection="0">
      <alignment horizontal="center" vertical="center" wrapText="1"/>
    </xf>
    <xf numFmtId="49" fontId="8" fillId="2" borderId="15" applyNumberFormat="1" applyFont="1" applyFill="1" applyBorder="1" applyAlignment="1" applyProtection="0">
      <alignment horizontal="center" vertical="bottom"/>
    </xf>
    <xf numFmtId="49" fontId="8" fillId="2" borderId="16" applyNumberFormat="1" applyFont="1" applyFill="1" applyBorder="1" applyAlignment="1" applyProtection="0">
      <alignment horizontal="center" vertical="bottom"/>
    </xf>
    <xf numFmtId="49" fontId="7" fillId="2" borderId="15" applyNumberFormat="1" applyFont="1" applyFill="1" applyBorder="1" applyAlignment="1" applyProtection="0">
      <alignment horizontal="center" vertical="bottom"/>
    </xf>
    <xf numFmtId="49" fontId="7" fillId="2" borderId="16" applyNumberFormat="1" applyFont="1" applyFill="1" applyBorder="1" applyAlignment="1" applyProtection="0">
      <alignment horizontal="center" vertical="bottom"/>
    </xf>
    <xf numFmtId="49" fontId="7" fillId="2" borderId="11" applyNumberFormat="1" applyFont="1" applyFill="1" applyBorder="1" applyAlignment="1" applyProtection="0">
      <alignment horizontal="center" vertical="bottom"/>
    </xf>
    <xf numFmtId="49" fontId="7" fillId="2" borderId="12" applyNumberFormat="1" applyFont="1" applyFill="1" applyBorder="1" applyAlignment="1" applyProtection="0">
      <alignment horizontal="center" vertical="bottom"/>
    </xf>
    <xf numFmtId="0" fontId="7" fillId="2" borderId="17" applyNumberFormat="0" applyFont="1" applyFill="1" applyBorder="1" applyAlignment="1" applyProtection="0">
      <alignment horizontal="center" vertical="bottom"/>
    </xf>
    <xf numFmtId="0" fontId="7" fillId="2" borderId="18" applyNumberFormat="0" applyFont="1" applyFill="1" applyBorder="1" applyAlignment="1" applyProtection="0">
      <alignment horizontal="center" vertical="bottom"/>
    </xf>
    <xf numFmtId="49" fontId="7" fillId="2" borderId="19" applyNumberFormat="1" applyFont="1" applyFill="1" applyBorder="1" applyAlignment="1" applyProtection="0">
      <alignment horizontal="center" vertical="center" wrapText="1"/>
    </xf>
    <xf numFmtId="49" fontId="7" fillId="2" borderId="20" applyNumberFormat="1" applyFont="1" applyFill="1" applyBorder="1" applyAlignment="1" applyProtection="0">
      <alignment horizontal="center" vertical="center" wrapText="1"/>
    </xf>
    <xf numFmtId="0" fontId="7" fillId="2" borderId="21" applyNumberFormat="0" applyFont="1" applyFill="1" applyBorder="1" applyAlignment="1" applyProtection="0">
      <alignment horizontal="center" vertical="bottom"/>
    </xf>
    <xf numFmtId="0" fontId="7" fillId="2" borderId="22" applyNumberFormat="0" applyFont="1" applyFill="1" applyBorder="1" applyAlignment="1" applyProtection="0">
      <alignment horizontal="center" vertical="center" wrapText="1"/>
    </xf>
    <xf numFmtId="0" fontId="7" fillId="2" borderId="17" applyNumberFormat="0" applyFont="1" applyFill="1" applyBorder="1" applyAlignment="1" applyProtection="0">
      <alignment horizontal="center" vertical="center" wrapText="1"/>
    </xf>
    <xf numFmtId="0" fontId="7" fillId="2" borderId="21" applyNumberFormat="0" applyFont="1" applyFill="1" applyBorder="1" applyAlignment="1" applyProtection="0">
      <alignment horizontal="center" vertical="center" wrapText="1"/>
    </xf>
    <xf numFmtId="0" fontId="7" fillId="2" borderId="18" applyNumberFormat="0" applyFont="1" applyFill="1" applyBorder="1" applyAlignment="1" applyProtection="0">
      <alignment horizontal="center" vertical="center" wrapText="1"/>
    </xf>
    <xf numFmtId="49" fontId="0" fillId="2" borderId="19" applyNumberFormat="1" applyFont="1" applyFill="1" applyBorder="1" applyAlignment="1" applyProtection="0">
      <alignment horizontal="center" vertical="bottom"/>
    </xf>
    <xf numFmtId="0" fontId="0" fillId="2" borderId="21" applyNumberFormat="0" applyFont="1" applyFill="1" applyBorder="1" applyAlignment="1" applyProtection="0">
      <alignment vertical="bottom"/>
    </xf>
    <xf numFmtId="49" fontId="7" fillId="2" borderId="23" applyNumberFormat="1" applyFont="1" applyFill="1" applyBorder="1" applyAlignment="1" applyProtection="0">
      <alignment horizontal="center" vertical="bottom"/>
    </xf>
    <xf numFmtId="49" fontId="7" fillId="2" borderId="24" applyNumberFormat="1" applyFont="1" applyFill="1" applyBorder="1" applyAlignment="1" applyProtection="0">
      <alignment horizontal="center" vertical="bottom"/>
    </xf>
    <xf numFmtId="49" fontId="8" fillId="2" borderId="19" applyNumberFormat="1" applyFont="1" applyFill="1" applyBorder="1" applyAlignment="1" applyProtection="0">
      <alignment horizontal="center" vertical="bottom"/>
    </xf>
    <xf numFmtId="49" fontId="8" fillId="2" borderId="20" applyNumberFormat="1" applyFont="1" applyFill="1" applyBorder="1" applyAlignment="1" applyProtection="0">
      <alignment horizontal="center" vertical="bottom"/>
    </xf>
    <xf numFmtId="49" fontId="7" fillId="2" borderId="25" applyNumberFormat="1" applyFont="1" applyFill="1" applyBorder="1" applyAlignment="1" applyProtection="0">
      <alignment horizontal="center" vertical="bottom"/>
    </xf>
    <xf numFmtId="49" fontId="7" fillId="2" borderId="26" applyNumberFormat="1" applyFont="1" applyFill="1" applyBorder="1" applyAlignment="1" applyProtection="0">
      <alignment horizontal="center" vertical="bottom"/>
    </xf>
    <xf numFmtId="0" fontId="7" fillId="2" borderId="22" applyNumberFormat="0" applyFont="1" applyFill="1" applyBorder="1" applyAlignment="1" applyProtection="0">
      <alignment horizontal="center" vertical="bottom"/>
    </xf>
    <xf numFmtId="49" fontId="7" fillId="2" borderId="27" applyNumberFormat="1" applyFont="1" applyFill="1" applyBorder="1" applyAlignment="1" applyProtection="0">
      <alignment horizontal="center" vertical="bottom"/>
    </xf>
    <xf numFmtId="49" fontId="7" fillId="2" borderId="28" applyNumberFormat="1" applyFont="1" applyFill="1" applyBorder="1" applyAlignment="1" applyProtection="0">
      <alignment horizontal="center" vertical="bottom"/>
    </xf>
    <xf numFmtId="0" fontId="9" fillId="2" borderId="21" applyNumberFormat="0" applyFont="1" applyFill="1" applyBorder="1" applyAlignment="1" applyProtection="0">
      <alignment horizontal="center" vertical="bottom"/>
    </xf>
    <xf numFmtId="0" fontId="0" fillId="2" borderId="22" applyNumberFormat="0" applyFont="1" applyFill="1" applyBorder="1" applyAlignment="1" applyProtection="0">
      <alignment vertical="bottom"/>
    </xf>
    <xf numFmtId="0" fontId="8" fillId="2" borderId="21" applyNumberFormat="0" applyFont="1" applyFill="1" applyBorder="1" applyAlignment="1" applyProtection="0">
      <alignment horizontal="center" vertical="bottom"/>
    </xf>
    <xf numFmtId="0" fontId="9" fillId="2" borderId="21" applyNumberFormat="0" applyFont="1" applyFill="1" applyBorder="1" applyAlignment="1" applyProtection="0">
      <alignment vertical="bottom"/>
    </xf>
    <xf numFmtId="0" fontId="9" fillId="2" borderId="21" applyNumberFormat="0" applyFont="1" applyFill="1" applyBorder="1" applyAlignment="1" applyProtection="0">
      <alignment horizontal="center" vertical="center"/>
    </xf>
    <xf numFmtId="0" fontId="7" fillId="2" borderId="21" applyNumberFormat="0" applyFont="1" applyFill="1" applyBorder="1" applyAlignment="1" applyProtection="0">
      <alignment horizontal="center" vertical="center"/>
    </xf>
    <xf numFmtId="0" fontId="10" fillId="2" borderId="21" applyNumberFormat="0" applyFont="1" applyFill="1" applyBorder="1" applyAlignment="1" applyProtection="0">
      <alignment vertical="center"/>
    </xf>
    <xf numFmtId="0" fontId="11" fillId="2" borderId="21" applyNumberFormat="0" applyFont="1" applyFill="1" applyBorder="1" applyAlignment="1" applyProtection="0">
      <alignment horizontal="center" vertical="center"/>
    </xf>
    <xf numFmtId="0" fontId="10" fillId="2" borderId="21" applyNumberFormat="0" applyFont="1" applyFill="1" applyBorder="1" applyAlignment="1" applyProtection="0">
      <alignment horizontal="center" vertical="center"/>
    </xf>
    <xf numFmtId="0" fontId="10" fillId="2" borderId="21"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49" fontId="12" fillId="5" borderId="29" applyNumberFormat="1" applyFont="1" applyFill="1" applyBorder="1" applyAlignment="1" applyProtection="0">
      <alignment horizontal="left" vertical="center" wrapText="1"/>
    </xf>
    <xf numFmtId="0" fontId="0" fillId="2" borderId="30" applyNumberFormat="0" applyFont="1" applyFill="1" applyBorder="1" applyAlignment="1" applyProtection="0">
      <alignment vertical="bottom"/>
    </xf>
    <xf numFmtId="0" fontId="0" fillId="2" borderId="31" applyNumberFormat="0" applyFont="1" applyFill="1" applyBorder="1" applyAlignment="1" applyProtection="0">
      <alignment vertical="bottom"/>
    </xf>
    <xf numFmtId="49" fontId="12" fillId="5" borderId="32" applyNumberFormat="1" applyFont="1" applyFill="1" applyBorder="1" applyAlignment="1" applyProtection="0">
      <alignment horizontal="left" vertical="center" wrapText="1"/>
    </xf>
    <xf numFmtId="49" fontId="13" fillId="6" borderId="33" applyNumberFormat="1" applyFont="1" applyFill="1" applyBorder="1" applyAlignment="1" applyProtection="0">
      <alignment horizontal="center" vertical="center" wrapText="1"/>
    </xf>
    <xf numFmtId="49" fontId="13" fillId="6" borderId="34" applyNumberFormat="1" applyFont="1" applyFill="1" applyBorder="1" applyAlignment="1" applyProtection="0">
      <alignment horizontal="center" vertical="center" wrapText="1"/>
    </xf>
    <xf numFmtId="49" fontId="13" fillId="6" borderId="35" applyNumberFormat="1" applyFont="1" applyFill="1" applyBorder="1" applyAlignment="1" applyProtection="0">
      <alignment horizontal="center" vertical="center" wrapText="1"/>
    </xf>
    <xf numFmtId="49" fontId="14" fillId="2" borderId="36" applyNumberFormat="1" applyFont="1" applyFill="1" applyBorder="1" applyAlignment="1" applyProtection="0">
      <alignment horizontal="center" vertical="center"/>
    </xf>
    <xf numFmtId="0" fontId="0" fillId="2" borderId="37" applyNumberFormat="0" applyFont="1" applyFill="1" applyBorder="1" applyAlignment="1" applyProtection="0">
      <alignment vertical="bottom"/>
    </xf>
    <xf numFmtId="0" fontId="0" fillId="2" borderId="38" applyNumberFormat="0" applyFont="1" applyFill="1" applyBorder="1" applyAlignment="1" applyProtection="0">
      <alignment vertical="bottom"/>
    </xf>
    <xf numFmtId="49" fontId="14" fillId="2" borderId="39" applyNumberFormat="1" applyFont="1" applyFill="1" applyBorder="1" applyAlignment="1" applyProtection="0">
      <alignment horizontal="center" vertical="center"/>
    </xf>
    <xf numFmtId="0" fontId="0" fillId="2" borderId="40" applyNumberFormat="0" applyFont="1" applyFill="1" applyBorder="1" applyAlignment="1" applyProtection="0">
      <alignment vertical="bottom"/>
    </xf>
    <xf numFmtId="0" fontId="0" fillId="2" borderId="41" applyNumberFormat="0" applyFont="1" applyFill="1" applyBorder="1" applyAlignment="1" applyProtection="0">
      <alignment vertical="bottom"/>
    </xf>
    <xf numFmtId="0" fontId="0" fillId="2" borderId="42" applyNumberFormat="0" applyFont="1" applyFill="1" applyBorder="1" applyAlignment="1" applyProtection="0">
      <alignment vertical="bottom"/>
    </xf>
    <xf numFmtId="49" fontId="13" fillId="7" borderId="43" applyNumberFormat="1" applyFont="1" applyFill="1" applyBorder="1" applyAlignment="1" applyProtection="0">
      <alignment horizontal="center" vertical="center" wrapText="1"/>
    </xf>
    <xf numFmtId="49" fontId="13" fillId="5" borderId="44" applyNumberFormat="1" applyFont="1" applyFill="1" applyBorder="1" applyAlignment="1" applyProtection="0">
      <alignment horizontal="center" vertical="center" wrapText="1"/>
    </xf>
    <xf numFmtId="49" fontId="13" fillId="5" borderId="45" applyNumberFormat="1" applyFont="1" applyFill="1" applyBorder="1" applyAlignment="1" applyProtection="0">
      <alignment horizontal="center" vertical="center" wrapText="1"/>
    </xf>
    <xf numFmtId="49" fontId="13" fillId="5" borderId="39" applyNumberFormat="1" applyFont="1" applyFill="1" applyBorder="1" applyAlignment="1" applyProtection="0">
      <alignment horizontal="center" vertical="center" wrapText="1"/>
    </xf>
    <xf numFmtId="0" fontId="0" fillId="2" borderId="46" applyNumberFormat="0" applyFont="1" applyFill="1" applyBorder="1" applyAlignment="1" applyProtection="0">
      <alignment vertical="bottom"/>
    </xf>
    <xf numFmtId="0" fontId="0" fillId="2" borderId="47" applyNumberFormat="0" applyFont="1" applyFill="1" applyBorder="1" applyAlignment="1" applyProtection="0">
      <alignment vertical="bottom"/>
    </xf>
    <xf numFmtId="0" fontId="0" fillId="2" borderId="48" applyNumberFormat="0" applyFont="1" applyFill="1" applyBorder="1" applyAlignment="1" applyProtection="0">
      <alignment vertical="bottom"/>
    </xf>
    <xf numFmtId="0" fontId="15" fillId="7" borderId="49" applyNumberFormat="0" applyFont="1" applyFill="1" applyBorder="1" applyAlignment="1" applyProtection="0">
      <alignment horizontal="center" vertical="center"/>
    </xf>
    <xf numFmtId="49" fontId="16" fillId="2" borderId="50" applyNumberFormat="1" applyFont="1" applyFill="1" applyBorder="1" applyAlignment="1" applyProtection="0">
      <alignment horizontal="center" vertical="center" wrapText="1"/>
    </xf>
    <xf numFmtId="49" fontId="7" fillId="2" borderId="50" applyNumberFormat="1" applyFont="1" applyFill="1" applyBorder="1" applyAlignment="1" applyProtection="0">
      <alignment horizontal="center" vertical="center"/>
    </xf>
    <xf numFmtId="49" fontId="13" fillId="2" borderId="50" applyNumberFormat="1" applyFont="1" applyFill="1" applyBorder="1" applyAlignment="1" applyProtection="0">
      <alignment horizontal="center" vertical="center"/>
    </xf>
    <xf numFmtId="49" fontId="8" fillId="2" borderId="50" applyNumberFormat="1" applyFont="1" applyFill="1" applyBorder="1" applyAlignment="1" applyProtection="0">
      <alignment horizontal="left" vertical="center" wrapText="1"/>
    </xf>
    <xf numFmtId="49" fontId="16" fillId="2" borderId="51" applyNumberFormat="1" applyFont="1" applyFill="1" applyBorder="1" applyAlignment="1" applyProtection="0">
      <alignment horizontal="center" vertical="center" wrapText="1"/>
    </xf>
    <xf numFmtId="49" fontId="17" fillId="2" borderId="39" applyNumberFormat="1" applyFont="1" applyFill="1" applyBorder="1" applyAlignment="1" applyProtection="0">
      <alignment horizontal="center" vertical="center"/>
    </xf>
    <xf numFmtId="0" fontId="18" fillId="2" borderId="43" applyNumberFormat="0" applyFont="1" applyFill="1" applyBorder="1" applyAlignment="1" applyProtection="0">
      <alignment vertical="center" wrapText="1"/>
    </xf>
    <xf numFmtId="0" fontId="18" fillId="2" borderId="52" applyNumberFormat="0" applyFont="1" applyFill="1" applyBorder="1" applyAlignment="1" applyProtection="0">
      <alignment vertical="center" wrapText="1"/>
    </xf>
    <xf numFmtId="0" fontId="17" fillId="2" borderId="52" applyNumberFormat="0" applyFont="1" applyFill="1" applyBorder="1" applyAlignment="1" applyProtection="0">
      <alignment vertical="center" wrapText="1"/>
    </xf>
    <xf numFmtId="0" fontId="17" fillId="2" borderId="53" applyNumberFormat="0" applyFont="1" applyFill="1" applyBorder="1" applyAlignment="1" applyProtection="0">
      <alignment vertical="center" wrapText="1"/>
    </xf>
    <xf numFmtId="0" fontId="15" fillId="7" borderId="54" applyNumberFormat="0" applyFont="1" applyFill="1" applyBorder="1" applyAlignment="1" applyProtection="0">
      <alignment horizontal="center" vertical="center"/>
    </xf>
    <xf numFmtId="0" fontId="15" fillId="7" borderId="55" applyNumberFormat="0" applyFont="1" applyFill="1" applyBorder="1" applyAlignment="1" applyProtection="0">
      <alignment horizontal="center" vertical="center"/>
    </xf>
    <xf numFmtId="0" fontId="19" fillId="7" borderId="49" applyNumberFormat="0" applyFont="1" applyFill="1" applyBorder="1" applyAlignment="1" applyProtection="0">
      <alignment horizontal="center" vertical="center"/>
    </xf>
    <xf numFmtId="49" fontId="20" fillId="2" borderId="39" applyNumberFormat="1" applyFont="1" applyFill="1" applyBorder="1" applyAlignment="1" applyProtection="0">
      <alignment horizontal="center" vertical="center"/>
    </xf>
    <xf numFmtId="0" fontId="21" fillId="2" borderId="43" applyNumberFormat="0" applyFont="1" applyFill="1" applyBorder="1" applyAlignment="1" applyProtection="0">
      <alignment vertical="center" wrapText="1"/>
    </xf>
    <xf numFmtId="0" fontId="21" fillId="2" borderId="52" applyNumberFormat="0" applyFont="1" applyFill="1" applyBorder="1" applyAlignment="1" applyProtection="0">
      <alignment vertical="center" wrapText="1"/>
    </xf>
    <xf numFmtId="0" fontId="20" fillId="2" borderId="53" applyNumberFormat="0" applyFont="1" applyFill="1" applyBorder="1" applyAlignment="1" applyProtection="0">
      <alignment vertical="center" wrapText="1"/>
    </xf>
    <xf numFmtId="0" fontId="19" fillId="7" borderId="54" applyNumberFormat="0" applyFont="1" applyFill="1" applyBorder="1" applyAlignment="1" applyProtection="0">
      <alignment horizontal="center" vertical="center"/>
    </xf>
    <xf numFmtId="0" fontId="21" fillId="2" borderId="56" applyNumberFormat="0" applyFont="1" applyFill="1" applyBorder="1" applyAlignment="1" applyProtection="0">
      <alignment vertical="center" wrapText="1"/>
    </xf>
    <xf numFmtId="0" fontId="21" fillId="2" borderId="57" applyNumberFormat="0" applyFont="1" applyFill="1" applyBorder="1" applyAlignment="1" applyProtection="0">
      <alignment vertical="center" wrapText="1"/>
    </xf>
    <xf numFmtId="0" fontId="20" fillId="2" borderId="58" applyNumberFormat="0" applyFont="1" applyFill="1" applyBorder="1" applyAlignment="1" applyProtection="0">
      <alignment vertical="center" wrapText="1"/>
    </xf>
    <xf numFmtId="49" fontId="13" fillId="8" borderId="59" applyNumberFormat="1" applyFont="1" applyFill="1" applyBorder="1" applyAlignment="1" applyProtection="0">
      <alignment horizontal="center" vertical="center"/>
    </xf>
    <xf numFmtId="0" fontId="0" fillId="2" borderId="60" applyNumberFormat="0" applyFont="1" applyFill="1" applyBorder="1" applyAlignment="1" applyProtection="0">
      <alignment vertical="bottom"/>
    </xf>
    <xf numFmtId="0" fontId="0" fillId="2" borderId="61" applyNumberFormat="0" applyFont="1" applyFill="1" applyBorder="1" applyAlignment="1" applyProtection="0">
      <alignment vertical="bottom"/>
    </xf>
    <xf numFmtId="0" fontId="0" fillId="9" borderId="39" applyNumberFormat="0" applyFont="1" applyFill="1" applyBorder="1" applyAlignment="1" applyProtection="0">
      <alignment vertical="bottom"/>
    </xf>
    <xf numFmtId="0" fontId="0" fillId="9" borderId="59" applyNumberFormat="0" applyFont="1" applyFill="1" applyBorder="1" applyAlignment="1" applyProtection="0">
      <alignment vertical="bottom"/>
    </xf>
    <xf numFmtId="0" fontId="0" fillId="9" borderId="62" applyNumberFormat="0" applyFont="1" applyFill="1" applyBorder="1" applyAlignment="1" applyProtection="0">
      <alignment vertical="bottom"/>
    </xf>
    <xf numFmtId="0" fontId="0" fillId="9" borderId="63" applyNumberFormat="0" applyFont="1" applyFill="1" applyBorder="1" applyAlignment="1" applyProtection="0">
      <alignment vertical="bottom"/>
    </xf>
    <xf numFmtId="0" fontId="18" fillId="2" borderId="64" applyNumberFormat="0" applyFont="1" applyFill="1" applyBorder="1" applyAlignment="1" applyProtection="0">
      <alignment vertical="center" wrapText="1"/>
    </xf>
    <xf numFmtId="0" fontId="18" fillId="2" borderId="65" applyNumberFormat="0" applyFont="1" applyFill="1" applyBorder="1" applyAlignment="1" applyProtection="0">
      <alignment vertical="center" wrapText="1"/>
    </xf>
    <xf numFmtId="0" fontId="22" fillId="2" borderId="66" applyNumberFormat="0" applyFont="1" applyFill="1" applyBorder="1" applyAlignment="1" applyProtection="0">
      <alignment horizontal="left" vertical="center" wrapText="1"/>
    </xf>
    <xf numFmtId="0" fontId="18" fillId="2" borderId="56" applyNumberFormat="0" applyFont="1" applyFill="1" applyBorder="1" applyAlignment="1" applyProtection="0">
      <alignment vertical="center" wrapText="1"/>
    </xf>
    <xf numFmtId="0" fontId="18" fillId="2" borderId="57" applyNumberFormat="0" applyFont="1" applyFill="1" applyBorder="1" applyAlignment="1" applyProtection="0">
      <alignment vertical="center" wrapText="1"/>
    </xf>
    <xf numFmtId="0" fontId="17" fillId="2" borderId="58" applyNumberFormat="0" applyFont="1" applyFill="1" applyBorder="1" applyAlignment="1" applyProtection="0">
      <alignment vertical="center" wrapText="1"/>
    </xf>
    <xf numFmtId="49" fontId="13" fillId="8" borderId="67" applyNumberFormat="1" applyFont="1" applyFill="1" applyBorder="1" applyAlignment="1" applyProtection="0">
      <alignment horizontal="center" vertical="center" wrapText="1"/>
    </xf>
    <xf numFmtId="0" fontId="17" fillId="2" borderId="66" applyNumberFormat="0" applyFont="1" applyFill="1" applyBorder="1" applyAlignment="1" applyProtection="0">
      <alignment vertical="center" wrapText="1"/>
    </xf>
    <xf numFmtId="14" fontId="18" fillId="2" borderId="64" applyNumberFormat="1" applyFont="1" applyFill="1" applyBorder="1" applyAlignment="1" applyProtection="0">
      <alignment vertical="center" wrapText="1"/>
    </xf>
    <xf numFmtId="14" fontId="18" fillId="2" borderId="65" applyNumberFormat="1" applyFont="1" applyFill="1" applyBorder="1" applyAlignment="1" applyProtection="0">
      <alignment vertical="center" wrapText="1"/>
    </xf>
    <xf numFmtId="0" fontId="0" fillId="2" borderId="39" applyNumberFormat="0" applyFont="1" applyFill="1" applyBorder="1" applyAlignment="1" applyProtection="0">
      <alignment vertical="bottom"/>
    </xf>
    <xf numFmtId="0" fontId="0" fillId="2" borderId="59" applyNumberFormat="0" applyFont="1" applyFill="1" applyBorder="1" applyAlignment="1" applyProtection="0">
      <alignment vertical="bottom"/>
    </xf>
    <xf numFmtId="0" fontId="0" fillId="2" borderId="62" applyNumberFormat="0" applyFont="1" applyFill="1" applyBorder="1" applyAlignment="1" applyProtection="0">
      <alignment vertical="bottom"/>
    </xf>
    <xf numFmtId="0" fontId="0" fillId="2" borderId="63" applyNumberFormat="0" applyFont="1" applyFill="1" applyBorder="1" applyAlignment="1" applyProtection="0">
      <alignment vertical="bottom"/>
    </xf>
    <xf numFmtId="49" fontId="13" fillId="8" borderId="15" applyNumberFormat="1" applyFont="1" applyFill="1" applyBorder="1" applyAlignment="1" applyProtection="0">
      <alignment horizontal="center" vertical="center"/>
    </xf>
    <xf numFmtId="0" fontId="13" fillId="8" borderId="68" applyNumberFormat="0" applyFont="1" applyFill="1" applyBorder="1" applyAlignment="1" applyProtection="0">
      <alignment horizontal="center" vertical="center"/>
    </xf>
    <xf numFmtId="0" fontId="0" fillId="2" borderId="68" applyNumberFormat="0" applyFont="1" applyFill="1" applyBorder="1" applyAlignment="1" applyProtection="0">
      <alignment vertical="bottom"/>
    </xf>
    <xf numFmtId="0" fontId="13" fillId="8" borderId="69" applyNumberFormat="0" applyFont="1" applyFill="1" applyBorder="1" applyAlignment="1" applyProtection="0">
      <alignment horizontal="center" vertical="center"/>
    </xf>
    <xf numFmtId="0" fontId="13" fillId="8" borderId="70" applyNumberFormat="0" applyFont="1" applyFill="1" applyBorder="1" applyAlignment="1" applyProtection="0">
      <alignment horizontal="center" vertical="center"/>
    </xf>
    <xf numFmtId="0" fontId="0" fillId="2" borderId="70" applyNumberFormat="0" applyFont="1" applyFill="1" applyBorder="1" applyAlignment="1" applyProtection="0">
      <alignment vertical="bottom"/>
    </xf>
    <xf numFmtId="49" fontId="23" fillId="8" borderId="59" applyNumberFormat="1" applyFont="1" applyFill="1" applyBorder="1" applyAlignment="1" applyProtection="0">
      <alignment horizontal="center" vertical="center"/>
    </xf>
    <xf numFmtId="0" fontId="23" fillId="8" borderId="60" applyNumberFormat="0" applyFont="1" applyFill="1" applyBorder="1" applyAlignment="1" applyProtection="0">
      <alignment horizontal="center" vertical="center"/>
    </xf>
    <xf numFmtId="0" fontId="23" fillId="8" borderId="62" applyNumberFormat="0" applyFont="1" applyFill="1" applyBorder="1" applyAlignment="1" applyProtection="0">
      <alignment horizontal="center" vertical="center"/>
    </xf>
    <xf numFmtId="0" fontId="23" fillId="8" borderId="71" applyNumberFormat="0" applyFont="1" applyFill="1" applyBorder="1" applyAlignment="1" applyProtection="0">
      <alignment horizontal="center" vertical="center"/>
    </xf>
    <xf numFmtId="0" fontId="24" fillId="2" borderId="15" applyNumberFormat="1" applyFont="1" applyFill="1" applyBorder="1" applyAlignment="1" applyProtection="0">
      <alignment horizontal="center" vertical="center"/>
    </xf>
    <xf numFmtId="49" fontId="17" fillId="2" borderId="68" applyNumberFormat="1" applyFont="1" applyFill="1" applyBorder="1" applyAlignment="1" applyProtection="0">
      <alignment horizontal="center" vertical="center" wrapText="1"/>
    </xf>
    <xf numFmtId="49" fontId="7" fillId="2" borderId="68" applyNumberFormat="1" applyFont="1" applyFill="1" applyBorder="1" applyAlignment="1" applyProtection="0">
      <alignment horizontal="center" vertical="center"/>
    </xf>
    <xf numFmtId="49" fontId="17" fillId="2" borderId="68" applyNumberFormat="1" applyFont="1" applyFill="1" applyBorder="1" applyAlignment="1" applyProtection="0">
      <alignment horizontal="center" vertical="center"/>
    </xf>
    <xf numFmtId="49" fontId="17" fillId="2" borderId="68" applyNumberFormat="1" applyFont="1" applyFill="1" applyBorder="1" applyAlignment="1" applyProtection="0">
      <alignment horizontal="left" vertical="center"/>
    </xf>
    <xf numFmtId="49" fontId="13" fillId="2" borderId="68" applyNumberFormat="1" applyFont="1" applyFill="1" applyBorder="1" applyAlignment="1" applyProtection="0">
      <alignment horizontal="center" vertical="center"/>
    </xf>
    <xf numFmtId="49" fontId="7" fillId="2" borderId="68" applyNumberFormat="1" applyFont="1" applyFill="1" applyBorder="1" applyAlignment="1" applyProtection="0">
      <alignment horizontal="left" vertical="center" wrapText="1"/>
    </xf>
    <xf numFmtId="49" fontId="7" fillId="2" borderId="69" applyNumberFormat="1" applyFont="1" applyFill="1" applyBorder="1" applyAlignment="1" applyProtection="0">
      <alignment horizontal="center" vertical="center"/>
    </xf>
    <xf numFmtId="14" fontId="7" fillId="2" borderId="70" applyNumberFormat="1" applyFont="1" applyFill="1" applyBorder="1" applyAlignment="1" applyProtection="0">
      <alignment horizontal="center" vertical="center"/>
    </xf>
    <xf numFmtId="0" fontId="17" fillId="2" borderId="70" applyNumberFormat="0" applyFont="1" applyFill="1" applyBorder="1" applyAlignment="1" applyProtection="0">
      <alignment vertical="center"/>
    </xf>
    <xf numFmtId="0" fontId="17" fillId="2" borderId="70" applyNumberFormat="1" applyFont="1" applyFill="1" applyBorder="1" applyAlignment="1" applyProtection="0">
      <alignment horizontal="center" vertical="center" wrapText="1"/>
    </xf>
    <xf numFmtId="49" fontId="7" fillId="2" borderId="72" applyNumberFormat="1" applyFont="1" applyFill="1" applyBorder="1" applyAlignment="1" applyProtection="0">
      <alignment horizontal="center" vertical="center"/>
    </xf>
    <xf numFmtId="14" fontId="7" fillId="2" borderId="73" applyNumberFormat="1" applyFont="1" applyFill="1" applyBorder="1" applyAlignment="1" applyProtection="0">
      <alignment horizontal="center" vertical="center"/>
    </xf>
    <xf numFmtId="0" fontId="17" fillId="2" borderId="73" applyNumberFormat="0" applyFont="1" applyFill="1" applyBorder="1" applyAlignment="1" applyProtection="0">
      <alignment vertical="center"/>
    </xf>
    <xf numFmtId="49" fontId="13" fillId="8" borderId="67" applyNumberFormat="1" applyFont="1" applyFill="1" applyBorder="1" applyAlignment="1" applyProtection="0">
      <alignment horizontal="center" vertical="center"/>
    </xf>
    <xf numFmtId="49" fontId="25" fillId="2" borderId="51" applyNumberFormat="1" applyFont="1" applyFill="1" applyBorder="1" applyAlignment="1" applyProtection="0">
      <alignment horizontal="center" vertical="center"/>
    </xf>
    <xf numFmtId="49" fontId="13" fillId="8" borderId="59" applyNumberFormat="1" applyFont="1" applyFill="1" applyBorder="1" applyAlignment="1" applyProtection="0">
      <alignment horizontal="center" vertical="center" wrapText="1"/>
    </xf>
    <xf numFmtId="0" fontId="15" fillId="7" borderId="74" applyNumberFormat="0" applyFont="1" applyFill="1" applyBorder="1" applyAlignment="1" applyProtection="0">
      <alignment horizontal="center" vertical="center"/>
    </xf>
    <xf numFmtId="0" fontId="18" fillId="2" borderId="75" applyNumberFormat="0" applyFont="1" applyFill="1" applyBorder="1" applyAlignment="1" applyProtection="0">
      <alignment vertical="center" wrapText="1"/>
    </xf>
    <xf numFmtId="0" fontId="18" fillId="2" borderId="76" applyNumberFormat="0" applyFont="1" applyFill="1" applyBorder="1" applyAlignment="1" applyProtection="0">
      <alignment vertical="center" wrapText="1"/>
    </xf>
    <xf numFmtId="0" fontId="17" fillId="2" borderId="77" applyNumberFormat="0" applyFont="1" applyFill="1" applyBorder="1" applyAlignment="1" applyProtection="0">
      <alignment vertical="center" wrapText="1"/>
    </xf>
    <xf numFmtId="0" fontId="15" fillId="7" borderId="78" applyNumberFormat="0" applyFont="1" applyFill="1" applyBorder="1" applyAlignment="1" applyProtection="0">
      <alignment horizontal="center" vertical="center"/>
    </xf>
    <xf numFmtId="49" fontId="16" fillId="2" borderId="79" applyNumberFormat="1" applyFont="1" applyFill="1" applyBorder="1" applyAlignment="1" applyProtection="0">
      <alignment horizontal="center" vertical="center" wrapText="1"/>
    </xf>
    <xf numFmtId="49" fontId="7" fillId="2" borderId="79" applyNumberFormat="1" applyFont="1" applyFill="1" applyBorder="1" applyAlignment="1" applyProtection="0">
      <alignment horizontal="center" vertical="center"/>
    </xf>
    <xf numFmtId="49" fontId="13" fillId="2" borderId="79" applyNumberFormat="1" applyFont="1" applyFill="1" applyBorder="1" applyAlignment="1" applyProtection="0">
      <alignment horizontal="center" vertical="center"/>
    </xf>
    <xf numFmtId="49" fontId="8" fillId="2" borderId="79" applyNumberFormat="1" applyFont="1" applyFill="1" applyBorder="1" applyAlignment="1" applyProtection="0">
      <alignment horizontal="left" vertical="center" wrapText="1"/>
    </xf>
    <xf numFmtId="49" fontId="16" fillId="2" borderId="80" applyNumberFormat="1" applyFont="1" applyFill="1" applyBorder="1" applyAlignment="1" applyProtection="0">
      <alignment horizontal="center" vertical="center" wrapText="1"/>
    </xf>
    <xf numFmtId="49" fontId="17" fillId="2" borderId="81" applyNumberFormat="1" applyFont="1" applyFill="1" applyBorder="1" applyAlignment="1" applyProtection="0">
      <alignment horizontal="center" vertical="center"/>
    </xf>
    <xf numFmtId="0" fontId="18" fillId="2" borderId="82" applyNumberFormat="0" applyFont="1" applyFill="1" applyBorder="1" applyAlignment="1" applyProtection="0">
      <alignment vertical="center" wrapText="1"/>
    </xf>
    <xf numFmtId="0" fontId="18" fillId="2" borderId="83" applyNumberFormat="0" applyFont="1" applyFill="1" applyBorder="1" applyAlignment="1" applyProtection="0">
      <alignment vertical="center" wrapText="1"/>
    </xf>
    <xf numFmtId="0" fontId="17" fillId="2" borderId="84"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e88b1"/>
      <rgbColor rgb="ffeef3f4"/>
      <rgbColor rgb="ff0000ff"/>
      <rgbColor rgb="ffdadbe1"/>
      <rgbColor rgb="ff3f3f3f"/>
      <rgbColor rgb="ffebecef"/>
      <rgbColor rgb="fff0f2f2"/>
      <rgbColor rgb="ff7f7f7f"/>
      <rgbColor rgb="ff525252"/>
      <rgbColor rgb="ffd9dce1"/>
      <rgbColor rgb="ffdadce0"/>
      <rgbColor rgb="ff44749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Tema di Office">
  <a:themeElements>
    <a:clrScheme name="Tema di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Tema di Office">
      <a:majorFont>
        <a:latin typeface="Helvetica Neue"/>
        <a:ea typeface="Helvetica Neue"/>
        <a:cs typeface="Helvetica Neue"/>
      </a:majorFont>
      <a:minorFont>
        <a:latin typeface="Helvetica Neue"/>
        <a:ea typeface="Helvetica Neue"/>
        <a:cs typeface="Helvetica Neue"/>
      </a:minorFont>
    </a:fontScheme>
    <a:fmtScheme name="Tema di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2"/>
  <sheetViews>
    <sheetView workbookViewId="0" showGridLines="0" defaultGridColor="1"/>
  </sheetViews>
  <sheetFormatPr defaultColWidth="10" defaultRowHeight="12.95" customHeight="1" outlineLevelRow="0" outlineLevelCol="0"/>
  <cols>
    <col min="1" max="1" width="2" style="1" customWidth="1"/>
    <col min="2" max="4" width="30.5" style="1" customWidth="1"/>
    <col min="5" max="5" width="10" style="1" customWidth="1"/>
    <col min="6" max="16384" width="10" style="1" customWidth="1"/>
  </cols>
  <sheetData>
    <row r="1" ht="13.5" customHeight="1">
      <c r="A1" s="2"/>
      <c r="B1" s="3"/>
      <c r="C1" s="3"/>
      <c r="D1" s="3"/>
      <c r="E1" s="4"/>
    </row>
    <row r="2" ht="13.5" customHeight="1">
      <c r="A2" s="5"/>
      <c r="B2" s="6"/>
      <c r="C2" s="6"/>
      <c r="D2" s="6"/>
      <c r="E2" s="7"/>
    </row>
    <row r="3" ht="50.1" customHeight="1">
      <c r="A3" s="5"/>
      <c r="B3" t="s" s="8">
        <v>0</v>
      </c>
      <c r="C3" s="6"/>
      <c r="D3" s="6"/>
      <c r="E3" s="7"/>
    </row>
    <row r="4" ht="13.5" customHeight="1">
      <c r="A4" s="5"/>
      <c r="B4" s="6"/>
      <c r="C4" s="6"/>
      <c r="D4" s="6"/>
      <c r="E4" s="7"/>
    </row>
    <row r="5" ht="13.5" customHeight="1">
      <c r="A5" s="5"/>
      <c r="B5" s="6"/>
      <c r="C5" s="6"/>
      <c r="D5" s="6"/>
      <c r="E5" s="7"/>
    </row>
    <row r="6" ht="13.5" customHeight="1">
      <c r="A6" s="5"/>
      <c r="B6" s="6"/>
      <c r="C6" s="6"/>
      <c r="D6" s="6"/>
      <c r="E6" s="7"/>
    </row>
    <row r="7" ht="17.85" customHeight="1">
      <c r="A7" s="5"/>
      <c r="B7" t="s" s="9">
        <v>1</v>
      </c>
      <c r="C7" t="s" s="9">
        <v>2</v>
      </c>
      <c r="D7" t="s" s="9">
        <v>3</v>
      </c>
      <c r="E7" s="7"/>
    </row>
    <row r="8" ht="13.5" customHeight="1">
      <c r="A8" s="5"/>
      <c r="B8" s="6"/>
      <c r="C8" s="6"/>
      <c r="D8" s="6"/>
      <c r="E8" s="7"/>
    </row>
    <row r="9" ht="15.4" customHeight="1">
      <c r="A9" s="5"/>
      <c r="B9" t="s" s="10">
        <v>4</v>
      </c>
      <c r="C9" s="11"/>
      <c r="D9" s="11"/>
      <c r="E9" s="7"/>
    </row>
    <row r="10" ht="15.4" customHeight="1">
      <c r="A10" s="5"/>
      <c r="B10" s="12"/>
      <c r="C10" t="s" s="13">
        <v>5</v>
      </c>
      <c r="D10" t="s" s="14">
        <v>6</v>
      </c>
      <c r="E10" s="7"/>
    </row>
    <row r="11" ht="15.4" customHeight="1">
      <c r="A11" s="5"/>
      <c r="B11" t="s" s="10">
        <v>7</v>
      </c>
      <c r="C11" s="11"/>
      <c r="D11" s="11"/>
      <c r="E11" s="7"/>
    </row>
    <row r="12" ht="15.4" customHeight="1">
      <c r="A12" s="15"/>
      <c r="B12" s="16"/>
      <c r="C12" t="s" s="17">
        <v>5</v>
      </c>
      <c r="D12" t="s" s="18">
        <v>8</v>
      </c>
      <c r="E12" s="19"/>
    </row>
  </sheetData>
  <mergeCells count="1">
    <mergeCell ref="B3:D3"/>
  </mergeCells>
  <hyperlinks>
    <hyperlink ref="D10" location="'WBS'!R1C1" tooltip="" display="WBS"/>
    <hyperlink ref="D12" location="'ELB_Esecutivo'!R1C1" tooltip="" display="ELB_Esecutiv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K56"/>
  <sheetViews>
    <sheetView workbookViewId="0" showGridLines="0" defaultGridColor="1"/>
  </sheetViews>
  <sheetFormatPr defaultColWidth="12.5" defaultRowHeight="15" customHeight="1" outlineLevelRow="0" outlineLevelCol="0"/>
  <cols>
    <col min="1" max="1" width="16.6719" style="20" customWidth="1"/>
    <col min="2" max="2" width="11.8516" style="20" customWidth="1"/>
    <col min="3" max="3" width="18.1719" style="20" customWidth="1"/>
    <col min="4" max="4" width="26.5" style="20" customWidth="1"/>
    <col min="5" max="5" width="23.5" style="20" customWidth="1"/>
    <col min="6" max="6" width="9.5" style="20" customWidth="1"/>
    <col min="7" max="7" width="18.6719" style="20" customWidth="1"/>
    <col min="8" max="8" width="5.17188" style="20" customWidth="1"/>
    <col min="9" max="9" width="25" style="20" customWidth="1"/>
    <col min="10" max="10" width="19.1719" style="20" customWidth="1"/>
    <col min="11" max="11" width="23.3516" style="20" customWidth="1"/>
    <col min="12" max="16384" width="12.5" style="20" customWidth="1"/>
  </cols>
  <sheetData>
    <row r="1" ht="15.75" customHeight="1">
      <c r="A1" t="s" s="21">
        <v>9</v>
      </c>
      <c r="B1" t="s" s="22">
        <v>10</v>
      </c>
      <c r="C1" s="23"/>
      <c r="D1" t="s" s="24">
        <v>11</v>
      </c>
      <c r="E1" s="25"/>
      <c r="F1" t="s" s="22">
        <v>12</v>
      </c>
      <c r="G1" s="23"/>
      <c r="H1" t="s" s="22">
        <v>13</v>
      </c>
      <c r="I1" s="23"/>
      <c r="J1" t="s" s="24">
        <v>14</v>
      </c>
      <c r="K1" s="25"/>
    </row>
    <row r="2" ht="29.25" customHeight="1">
      <c r="A2" t="s" s="26">
        <v>15</v>
      </c>
      <c r="B2" t="s" s="27">
        <v>16</v>
      </c>
      <c r="C2" t="s" s="28">
        <v>17</v>
      </c>
      <c r="D2" t="s" s="29">
        <v>18</v>
      </c>
      <c r="E2" t="s" s="30">
        <v>19</v>
      </c>
      <c r="F2" t="s" s="31">
        <v>20</v>
      </c>
      <c r="G2" t="s" s="32">
        <v>21</v>
      </c>
      <c r="H2" t="s" s="33">
        <v>22</v>
      </c>
      <c r="I2" t="s" s="34">
        <v>21</v>
      </c>
      <c r="J2" t="s" s="35">
        <v>23</v>
      </c>
      <c r="K2" t="s" s="36">
        <v>24</v>
      </c>
    </row>
    <row r="3" ht="15.6" customHeight="1">
      <c r="A3" s="37"/>
      <c r="B3" t="s" s="27">
        <v>25</v>
      </c>
      <c r="C3" t="s" s="28">
        <v>26</v>
      </c>
      <c r="D3" t="s" s="27">
        <v>27</v>
      </c>
      <c r="E3" t="s" s="28">
        <v>28</v>
      </c>
      <c r="F3" t="s" s="27">
        <v>29</v>
      </c>
      <c r="G3" t="s" s="28">
        <v>30</v>
      </c>
      <c r="H3" t="s" s="27">
        <v>31</v>
      </c>
      <c r="I3" t="s" s="28">
        <v>32</v>
      </c>
      <c r="J3" t="s" s="33">
        <v>33</v>
      </c>
      <c r="K3" t="s" s="34">
        <v>34</v>
      </c>
    </row>
    <row r="4" ht="16.5" customHeight="1">
      <c r="A4" s="38"/>
      <c r="B4" t="s" s="27">
        <v>35</v>
      </c>
      <c r="C4" t="s" s="28">
        <v>36</v>
      </c>
      <c r="D4" t="s" s="27">
        <v>37</v>
      </c>
      <c r="E4" t="s" s="28">
        <v>38</v>
      </c>
      <c r="F4" t="s" s="27">
        <v>39</v>
      </c>
      <c r="G4" t="s" s="28">
        <v>40</v>
      </c>
      <c r="H4" t="s" s="27">
        <v>41</v>
      </c>
      <c r="I4" t="s" s="28">
        <v>42</v>
      </c>
      <c r="J4" t="s" s="33">
        <v>43</v>
      </c>
      <c r="K4" t="s" s="34">
        <v>44</v>
      </c>
    </row>
    <row r="5" ht="16.5" customHeight="1">
      <c r="A5" s="38"/>
      <c r="B5" t="s" s="39">
        <v>45</v>
      </c>
      <c r="C5" t="s" s="40">
        <v>46</v>
      </c>
      <c r="D5" t="s" s="27">
        <v>47</v>
      </c>
      <c r="E5" t="s" s="28">
        <v>48</v>
      </c>
      <c r="F5" t="s" s="27">
        <v>49</v>
      </c>
      <c r="G5" t="s" s="28">
        <v>50</v>
      </c>
      <c r="H5" t="s" s="27">
        <v>51</v>
      </c>
      <c r="I5" t="s" s="28">
        <v>52</v>
      </c>
      <c r="J5" t="s" s="33">
        <v>53</v>
      </c>
      <c r="K5" t="s" s="34">
        <v>54</v>
      </c>
    </row>
    <row r="6" ht="15.6" customHeight="1">
      <c r="A6" s="41"/>
      <c r="B6" s="42"/>
      <c r="C6" s="43"/>
      <c r="D6" t="s" s="27">
        <v>55</v>
      </c>
      <c r="E6" t="s" s="28">
        <v>56</v>
      </c>
      <c r="F6" t="s" s="27">
        <v>57</v>
      </c>
      <c r="G6" t="s" s="28">
        <v>58</v>
      </c>
      <c r="H6" t="s" s="27">
        <v>59</v>
      </c>
      <c r="I6" t="s" s="28">
        <v>60</v>
      </c>
      <c r="J6" t="s" s="33">
        <v>61</v>
      </c>
      <c r="K6" t="s" s="34">
        <v>62</v>
      </c>
    </row>
    <row r="7" ht="15" customHeight="1">
      <c r="A7" s="41"/>
      <c r="B7" s="44"/>
      <c r="C7" s="45"/>
      <c r="D7" t="s" s="27">
        <v>63</v>
      </c>
      <c r="E7" t="s" s="28">
        <v>64</v>
      </c>
      <c r="F7" t="s" s="27">
        <v>65</v>
      </c>
      <c r="G7" t="s" s="28">
        <v>66</v>
      </c>
      <c r="H7" t="s" s="27">
        <v>67</v>
      </c>
      <c r="I7" t="s" s="28">
        <v>60</v>
      </c>
      <c r="J7" t="s" s="33">
        <v>68</v>
      </c>
      <c r="K7" t="s" s="34">
        <v>69</v>
      </c>
    </row>
    <row r="8" ht="16.5" customHeight="1">
      <c r="A8" s="41"/>
      <c r="B8" s="41"/>
      <c r="C8" s="38"/>
      <c r="D8" t="s" s="46">
        <v>70</v>
      </c>
      <c r="E8" t="s" s="40">
        <v>71</v>
      </c>
      <c r="F8" t="s" s="27">
        <v>72</v>
      </c>
      <c r="G8" t="s" s="28">
        <v>73</v>
      </c>
      <c r="H8" t="s" s="27">
        <v>74</v>
      </c>
      <c r="I8" t="s" s="28">
        <v>60</v>
      </c>
      <c r="J8" t="s" s="33">
        <v>75</v>
      </c>
      <c r="K8" t="s" s="34">
        <v>76</v>
      </c>
    </row>
    <row r="9" ht="16.5" customHeight="1">
      <c r="A9" s="41"/>
      <c r="B9" s="41"/>
      <c r="C9" s="41"/>
      <c r="D9" s="42"/>
      <c r="E9" s="37"/>
      <c r="F9" t="s" s="27">
        <v>77</v>
      </c>
      <c r="G9" t="s" s="28">
        <v>78</v>
      </c>
      <c r="H9" t="s" s="27">
        <v>79</v>
      </c>
      <c r="I9" t="s" s="28">
        <v>60</v>
      </c>
      <c r="J9" t="s" s="33">
        <v>80</v>
      </c>
      <c r="K9" t="s" s="34">
        <v>81</v>
      </c>
    </row>
    <row r="10" ht="16.5" customHeight="1">
      <c r="A10" s="41"/>
      <c r="B10" s="41"/>
      <c r="C10" s="41"/>
      <c r="D10" s="44"/>
      <c r="E10" s="45"/>
      <c r="F10" t="s" s="27">
        <v>82</v>
      </c>
      <c r="G10" t="s" s="28">
        <v>83</v>
      </c>
      <c r="H10" t="s" s="27">
        <v>84</v>
      </c>
      <c r="I10" t="s" s="28">
        <v>60</v>
      </c>
      <c r="J10" t="s" s="33">
        <v>85</v>
      </c>
      <c r="K10" t="s" s="34">
        <v>86</v>
      </c>
    </row>
    <row r="11" ht="16.5" customHeight="1">
      <c r="A11" s="41"/>
      <c r="B11" s="41"/>
      <c r="C11" s="41"/>
      <c r="D11" s="44"/>
      <c r="E11" s="45"/>
      <c r="F11" t="s" s="27">
        <v>87</v>
      </c>
      <c r="G11" t="s" s="28">
        <v>88</v>
      </c>
      <c r="H11" t="s" s="27">
        <v>89</v>
      </c>
      <c r="I11" t="s" s="28">
        <v>60</v>
      </c>
      <c r="J11" t="s" s="33">
        <v>90</v>
      </c>
      <c r="K11" t="s" s="34">
        <v>91</v>
      </c>
    </row>
    <row r="12" ht="16.5" customHeight="1">
      <c r="A12" s="41"/>
      <c r="B12" s="41"/>
      <c r="C12" s="41"/>
      <c r="D12" s="44"/>
      <c r="E12" s="45"/>
      <c r="F12" t="s" s="39">
        <v>92</v>
      </c>
      <c r="G12" t="s" s="40">
        <v>93</v>
      </c>
      <c r="H12" t="s" s="27">
        <v>94</v>
      </c>
      <c r="I12" t="s" s="28">
        <v>60</v>
      </c>
      <c r="J12" t="s" s="33">
        <v>95</v>
      </c>
      <c r="K12" t="s" s="34">
        <v>96</v>
      </c>
    </row>
    <row r="13" ht="16.5" customHeight="1">
      <c r="A13" s="41"/>
      <c r="B13" s="41"/>
      <c r="C13" s="41"/>
      <c r="D13" s="47"/>
      <c r="E13" s="47"/>
      <c r="F13" s="42"/>
      <c r="G13" s="43"/>
      <c r="H13" t="s" s="27">
        <v>97</v>
      </c>
      <c r="I13" t="s" s="28">
        <v>60</v>
      </c>
      <c r="J13" t="s" s="33">
        <v>98</v>
      </c>
      <c r="K13" t="s" s="34">
        <v>99</v>
      </c>
    </row>
    <row r="14" ht="16.5" customHeight="1">
      <c r="A14" s="41"/>
      <c r="B14" s="41"/>
      <c r="C14" s="41"/>
      <c r="D14" s="41"/>
      <c r="E14" s="41"/>
      <c r="F14" s="44"/>
      <c r="G14" s="45"/>
      <c r="H14" t="s" s="27">
        <v>100</v>
      </c>
      <c r="I14" t="s" s="28">
        <v>60</v>
      </c>
      <c r="J14" t="s" s="33">
        <v>101</v>
      </c>
      <c r="K14" t="s" s="34">
        <v>102</v>
      </c>
    </row>
    <row r="15" ht="16.5" customHeight="1">
      <c r="A15" s="41"/>
      <c r="B15" s="41"/>
      <c r="C15" s="41"/>
      <c r="D15" s="41"/>
      <c r="E15" s="41"/>
      <c r="F15" s="44"/>
      <c r="G15" s="45"/>
      <c r="H15" t="s" s="27">
        <v>103</v>
      </c>
      <c r="I15" t="s" s="28">
        <v>60</v>
      </c>
      <c r="J15" t="s" s="33">
        <v>104</v>
      </c>
      <c r="K15" t="s" s="34">
        <v>105</v>
      </c>
    </row>
    <row r="16" ht="16.5" customHeight="1">
      <c r="A16" s="41"/>
      <c r="B16" s="41"/>
      <c r="C16" s="41"/>
      <c r="D16" s="41"/>
      <c r="E16" s="41"/>
      <c r="F16" s="44"/>
      <c r="G16" s="45"/>
      <c r="H16" t="s" s="27">
        <v>106</v>
      </c>
      <c r="I16" t="s" s="28">
        <v>60</v>
      </c>
      <c r="J16" t="s" s="33">
        <v>107</v>
      </c>
      <c r="K16" t="s" s="34">
        <v>108</v>
      </c>
    </row>
    <row r="17" ht="16.5" customHeight="1">
      <c r="A17" s="41"/>
      <c r="B17" s="41"/>
      <c r="C17" s="41"/>
      <c r="D17" s="41"/>
      <c r="E17" s="41"/>
      <c r="F17" s="44"/>
      <c r="G17" s="45"/>
      <c r="H17" t="s" s="27">
        <v>109</v>
      </c>
      <c r="I17" t="s" s="28">
        <v>60</v>
      </c>
      <c r="J17" t="s" s="33">
        <v>110</v>
      </c>
      <c r="K17" t="s" s="34">
        <v>111</v>
      </c>
    </row>
    <row r="18" ht="16.5" customHeight="1">
      <c r="A18" s="41"/>
      <c r="B18" s="41"/>
      <c r="C18" s="41"/>
      <c r="D18" s="41"/>
      <c r="E18" s="41"/>
      <c r="F18" s="44"/>
      <c r="G18" s="45"/>
      <c r="H18" t="s" s="27">
        <v>112</v>
      </c>
      <c r="I18" t="s" s="28">
        <v>60</v>
      </c>
      <c r="J18" t="s" s="33">
        <v>113</v>
      </c>
      <c r="K18" t="s" s="34">
        <v>114</v>
      </c>
    </row>
    <row r="19" ht="16.5" customHeight="1">
      <c r="A19" s="41"/>
      <c r="B19" s="41"/>
      <c r="C19" s="41"/>
      <c r="D19" s="41"/>
      <c r="E19" s="41"/>
      <c r="F19" s="44"/>
      <c r="G19" s="45"/>
      <c r="H19" t="s" s="27">
        <v>115</v>
      </c>
      <c r="I19" t="s" s="28">
        <v>60</v>
      </c>
      <c r="J19" t="s" s="33">
        <v>116</v>
      </c>
      <c r="K19" t="s" s="34">
        <v>117</v>
      </c>
    </row>
    <row r="20" ht="16.5" customHeight="1">
      <c r="A20" s="41"/>
      <c r="B20" s="41"/>
      <c r="C20" s="41"/>
      <c r="D20" s="41"/>
      <c r="E20" s="41"/>
      <c r="F20" s="44"/>
      <c r="G20" s="45"/>
      <c r="H20" t="s" s="27">
        <v>118</v>
      </c>
      <c r="I20" t="s" s="28">
        <v>60</v>
      </c>
      <c r="J20" t="s" s="33">
        <v>119</v>
      </c>
      <c r="K20" t="s" s="34">
        <v>120</v>
      </c>
    </row>
    <row r="21" ht="16.5" customHeight="1">
      <c r="A21" s="41"/>
      <c r="B21" s="41"/>
      <c r="C21" s="41"/>
      <c r="D21" s="41"/>
      <c r="E21" s="41"/>
      <c r="F21" s="44"/>
      <c r="G21" s="45"/>
      <c r="H21" t="s" s="27">
        <v>121</v>
      </c>
      <c r="I21" t="s" s="28">
        <v>60</v>
      </c>
      <c r="J21" t="s" s="33">
        <v>122</v>
      </c>
      <c r="K21" t="s" s="34">
        <v>123</v>
      </c>
    </row>
    <row r="22" ht="16.5" customHeight="1">
      <c r="A22" s="41"/>
      <c r="B22" s="41"/>
      <c r="C22" s="41"/>
      <c r="D22" s="41"/>
      <c r="E22" s="41"/>
      <c r="F22" s="44"/>
      <c r="G22" s="45"/>
      <c r="H22" t="s" s="27">
        <v>124</v>
      </c>
      <c r="I22" t="s" s="28">
        <v>60</v>
      </c>
      <c r="J22" t="s" s="33">
        <v>125</v>
      </c>
      <c r="K22" t="s" s="34">
        <v>126</v>
      </c>
    </row>
    <row r="23" ht="16.5" customHeight="1">
      <c r="A23" s="41"/>
      <c r="B23" s="41"/>
      <c r="C23" s="41"/>
      <c r="D23" s="41"/>
      <c r="E23" s="41"/>
      <c r="F23" s="44"/>
      <c r="G23" s="45"/>
      <c r="H23" t="s" s="27">
        <v>127</v>
      </c>
      <c r="I23" t="s" s="28">
        <v>128</v>
      </c>
      <c r="J23" t="s" s="33">
        <v>129</v>
      </c>
      <c r="K23" t="s" s="34">
        <v>130</v>
      </c>
    </row>
    <row r="24" ht="16.5" customHeight="1">
      <c r="A24" s="41"/>
      <c r="B24" s="41"/>
      <c r="C24" s="41"/>
      <c r="D24" s="41"/>
      <c r="E24" s="41"/>
      <c r="F24" s="44"/>
      <c r="G24" s="45"/>
      <c r="H24" t="s" s="33">
        <v>131</v>
      </c>
      <c r="I24" t="s" s="28">
        <v>132</v>
      </c>
      <c r="J24" t="s" s="48">
        <v>133</v>
      </c>
      <c r="K24" t="s" s="49">
        <v>96</v>
      </c>
    </row>
    <row r="25" ht="16.5" customHeight="1">
      <c r="A25" s="41"/>
      <c r="B25" s="41"/>
      <c r="C25" s="41"/>
      <c r="D25" s="41"/>
      <c r="E25" s="41"/>
      <c r="F25" s="44"/>
      <c r="G25" s="45"/>
      <c r="H25" t="s" s="50">
        <v>134</v>
      </c>
      <c r="I25" t="s" s="51">
        <v>135</v>
      </c>
      <c r="J25" t="s" s="52">
        <v>136</v>
      </c>
      <c r="K25" t="s" s="53">
        <v>137</v>
      </c>
    </row>
    <row r="26" ht="16.5" customHeight="1">
      <c r="A26" s="41"/>
      <c r="B26" s="41"/>
      <c r="C26" s="41"/>
      <c r="D26" s="41"/>
      <c r="E26" s="41"/>
      <c r="F26" s="44"/>
      <c r="G26" s="44"/>
      <c r="H26" s="54"/>
      <c r="I26" s="37"/>
      <c r="J26" t="s" s="55">
        <v>138</v>
      </c>
      <c r="K26" t="s" s="56">
        <v>139</v>
      </c>
    </row>
    <row r="27" ht="16.5" customHeight="1">
      <c r="A27" s="41"/>
      <c r="B27" s="41"/>
      <c r="C27" s="41"/>
      <c r="D27" s="41"/>
      <c r="E27" s="41"/>
      <c r="F27" s="41"/>
      <c r="G27" s="44"/>
      <c r="H27" s="57"/>
      <c r="I27" s="57"/>
      <c r="J27" s="58"/>
      <c r="K27" s="58"/>
    </row>
    <row r="28" ht="16.5" customHeight="1">
      <c r="A28" s="41"/>
      <c r="B28" s="41"/>
      <c r="C28" s="41"/>
      <c r="D28" s="41"/>
      <c r="E28" s="41"/>
      <c r="F28" s="59"/>
      <c r="G28" s="59"/>
      <c r="H28" s="59"/>
      <c r="I28" s="59"/>
      <c r="J28" s="47"/>
      <c r="K28" s="47"/>
    </row>
    <row r="29" ht="18" customHeight="1">
      <c r="A29" s="41"/>
      <c r="B29" s="41"/>
      <c r="C29" s="41"/>
      <c r="D29" s="41"/>
      <c r="E29" s="41"/>
      <c r="F29" s="47"/>
      <c r="G29" s="47"/>
      <c r="H29" s="41"/>
      <c r="I29" s="41"/>
      <c r="J29" s="59"/>
      <c r="K29" s="59"/>
    </row>
    <row r="30" ht="16.5" customHeight="1">
      <c r="A30" s="41"/>
      <c r="B30" s="41"/>
      <c r="C30" s="41"/>
      <c r="D30" s="41"/>
      <c r="E30" s="41"/>
      <c r="F30" s="47"/>
      <c r="G30" s="47"/>
      <c r="H30" s="57"/>
      <c r="I30" s="57"/>
      <c r="J30" s="41"/>
      <c r="K30" s="41"/>
    </row>
    <row r="31" ht="16.5" customHeight="1">
      <c r="A31" s="57"/>
      <c r="B31" s="57"/>
      <c r="C31" s="57"/>
      <c r="D31" s="57"/>
      <c r="E31" s="57"/>
      <c r="F31" s="41"/>
      <c r="G31" s="41"/>
      <c r="H31" s="60"/>
      <c r="I31" s="60"/>
      <c r="J31" s="41"/>
      <c r="K31" s="41"/>
    </row>
    <row r="32" ht="16.5" customHeight="1">
      <c r="A32" s="60"/>
      <c r="B32" s="60"/>
      <c r="C32" s="60"/>
      <c r="D32" s="60"/>
      <c r="E32" s="60"/>
      <c r="F32" s="61"/>
      <c r="G32" s="61"/>
      <c r="H32" s="60"/>
      <c r="I32" s="60"/>
      <c r="J32" s="62"/>
      <c r="K32" s="62"/>
    </row>
    <row r="33" ht="16.5" customHeight="1">
      <c r="A33" s="60"/>
      <c r="B33" s="60"/>
      <c r="C33" s="60"/>
      <c r="D33" s="60"/>
      <c r="E33" s="60"/>
      <c r="F33" s="61"/>
      <c r="G33" s="61"/>
      <c r="H33" s="60"/>
      <c r="I33" s="60"/>
      <c r="J33" s="61"/>
      <c r="K33" s="61"/>
    </row>
    <row r="34" ht="16.5" customHeight="1">
      <c r="A34" s="60"/>
      <c r="B34" s="60"/>
      <c r="C34" s="60"/>
      <c r="D34" s="60"/>
      <c r="E34" s="60"/>
      <c r="F34" s="61"/>
      <c r="G34" s="61"/>
      <c r="H34" s="60"/>
      <c r="I34" s="60"/>
      <c r="J34" s="60"/>
      <c r="K34" s="60"/>
    </row>
    <row r="35" ht="16.5" customHeight="1">
      <c r="A35" s="60"/>
      <c r="B35" s="60"/>
      <c r="C35" s="60"/>
      <c r="D35" s="60"/>
      <c r="E35" s="60"/>
      <c r="F35" s="61"/>
      <c r="G35" s="61"/>
      <c r="H35" s="60"/>
      <c r="I35" s="60"/>
      <c r="J35" s="60"/>
      <c r="K35" s="60"/>
    </row>
    <row r="36" ht="16.5" customHeight="1">
      <c r="A36" s="60"/>
      <c r="B36" s="60"/>
      <c r="C36" s="60"/>
      <c r="D36" s="60"/>
      <c r="E36" s="60"/>
      <c r="F36" s="60"/>
      <c r="G36" s="60"/>
      <c r="H36" s="60"/>
      <c r="I36" s="60"/>
      <c r="J36" s="60"/>
      <c r="K36" s="60"/>
    </row>
    <row r="37" ht="16.5" customHeight="1">
      <c r="A37" s="60"/>
      <c r="B37" s="60"/>
      <c r="C37" s="60"/>
      <c r="D37" s="60"/>
      <c r="E37" s="60"/>
      <c r="F37" s="60"/>
      <c r="G37" s="60"/>
      <c r="H37" s="60"/>
      <c r="I37" s="60"/>
      <c r="J37" s="60"/>
      <c r="K37" s="60"/>
    </row>
    <row r="38" ht="16.5" customHeight="1">
      <c r="A38" s="60"/>
      <c r="B38" s="60"/>
      <c r="C38" s="60"/>
      <c r="D38" s="60"/>
      <c r="E38" s="60"/>
      <c r="F38" s="60"/>
      <c r="G38" s="60"/>
      <c r="H38" s="60"/>
      <c r="I38" s="60"/>
      <c r="J38" s="60"/>
      <c r="K38" s="60"/>
    </row>
    <row r="39" ht="16.5" customHeight="1">
      <c r="A39" s="60"/>
      <c r="B39" s="60"/>
      <c r="C39" s="60"/>
      <c r="D39" s="60"/>
      <c r="E39" s="60"/>
      <c r="F39" s="60"/>
      <c r="G39" s="60"/>
      <c r="H39" s="47"/>
      <c r="I39" s="47"/>
      <c r="J39" s="60"/>
      <c r="K39" s="60"/>
    </row>
    <row r="40" ht="16.5" customHeight="1">
      <c r="A40" s="63"/>
      <c r="B40" s="63"/>
      <c r="C40" s="64"/>
      <c r="D40" s="63"/>
      <c r="E40" s="63"/>
      <c r="F40" s="60"/>
      <c r="G40" s="60"/>
      <c r="H40" s="47"/>
      <c r="I40" s="47"/>
      <c r="J40" s="60"/>
      <c r="K40" s="60"/>
    </row>
    <row r="41" ht="16.5" customHeight="1">
      <c r="A41" s="63"/>
      <c r="B41" s="63"/>
      <c r="C41" s="64"/>
      <c r="D41" s="64"/>
      <c r="E41" s="64"/>
      <c r="F41" s="60"/>
      <c r="G41" s="60"/>
      <c r="H41" s="47"/>
      <c r="I41" s="47"/>
      <c r="J41" s="60"/>
      <c r="K41" s="60"/>
    </row>
    <row r="42" ht="16.5" customHeight="1">
      <c r="A42" s="63"/>
      <c r="B42" s="63"/>
      <c r="C42" s="64"/>
      <c r="D42" s="64"/>
      <c r="E42" s="64"/>
      <c r="F42" s="60"/>
      <c r="G42" s="60"/>
      <c r="H42" s="47"/>
      <c r="I42" s="47"/>
      <c r="J42" s="47"/>
      <c r="K42" s="47"/>
    </row>
    <row r="43" ht="16.5" customHeight="1">
      <c r="A43" s="63"/>
      <c r="B43" s="63"/>
      <c r="C43" s="64"/>
      <c r="D43" s="64"/>
      <c r="E43" s="64"/>
      <c r="F43" s="60"/>
      <c r="G43" s="60"/>
      <c r="H43" s="47"/>
      <c r="I43" s="47"/>
      <c r="J43" s="47"/>
      <c r="K43" s="47"/>
    </row>
    <row r="44" ht="16.5" customHeight="1">
      <c r="A44" s="63"/>
      <c r="B44" s="63"/>
      <c r="C44" s="64"/>
      <c r="D44" s="64"/>
      <c r="E44" s="64"/>
      <c r="F44" s="47"/>
      <c r="G44" s="47"/>
      <c r="H44" s="47"/>
      <c r="I44" s="47"/>
      <c r="J44" s="47"/>
      <c r="K44" s="47"/>
    </row>
    <row r="45" ht="16.5" customHeight="1">
      <c r="A45" s="63"/>
      <c r="B45" s="63"/>
      <c r="C45" s="64"/>
      <c r="D45" s="64"/>
      <c r="E45" s="64"/>
      <c r="F45" s="47"/>
      <c r="G45" s="47"/>
      <c r="H45" s="47"/>
      <c r="I45" s="47"/>
      <c r="J45" s="47"/>
      <c r="K45" s="47"/>
    </row>
    <row r="46" ht="16.5" customHeight="1">
      <c r="A46" s="63"/>
      <c r="B46" s="63"/>
      <c r="C46" s="64"/>
      <c r="D46" s="64"/>
      <c r="E46" s="65"/>
      <c r="F46" s="47"/>
      <c r="G46" s="47"/>
      <c r="H46" s="47"/>
      <c r="I46" s="47"/>
      <c r="J46" s="47"/>
      <c r="K46" s="47"/>
    </row>
    <row r="47" ht="16.5" customHeight="1">
      <c r="A47" s="63"/>
      <c r="B47" s="63"/>
      <c r="C47" s="64"/>
      <c r="D47" s="64"/>
      <c r="E47" s="65"/>
      <c r="F47" s="47"/>
      <c r="G47" s="47"/>
      <c r="H47" s="47"/>
      <c r="I47" s="47"/>
      <c r="J47" s="47"/>
      <c r="K47" s="47"/>
    </row>
    <row r="48" ht="16.5" customHeight="1">
      <c r="A48" s="63"/>
      <c r="B48" s="63"/>
      <c r="C48" s="64"/>
      <c r="D48" s="64"/>
      <c r="E48" s="64"/>
      <c r="F48" s="47"/>
      <c r="G48" s="47"/>
      <c r="H48" s="47"/>
      <c r="I48" s="47"/>
      <c r="J48" s="47"/>
      <c r="K48" s="47"/>
    </row>
    <row r="49" ht="16.5" customHeight="1">
      <c r="A49" s="63"/>
      <c r="B49" s="63"/>
      <c r="C49" s="64"/>
      <c r="D49" s="64"/>
      <c r="E49" s="65"/>
      <c r="F49" s="47"/>
      <c r="G49" s="47"/>
      <c r="H49" s="47"/>
      <c r="I49" s="47"/>
      <c r="J49" s="47"/>
      <c r="K49" s="47"/>
    </row>
    <row r="50" ht="16.5" customHeight="1">
      <c r="A50" s="63"/>
      <c r="B50" s="63"/>
      <c r="C50" s="64"/>
      <c r="D50" s="63"/>
      <c r="E50" s="63"/>
      <c r="F50" s="47"/>
      <c r="G50" s="47"/>
      <c r="H50" s="47"/>
      <c r="I50" s="47"/>
      <c r="J50" s="47"/>
      <c r="K50" s="47"/>
    </row>
    <row r="51" ht="16.5" customHeight="1">
      <c r="A51" s="63"/>
      <c r="B51" s="63"/>
      <c r="C51" s="64"/>
      <c r="D51" s="64"/>
      <c r="E51" s="66"/>
      <c r="F51" s="47"/>
      <c r="G51" s="47"/>
      <c r="H51" s="47"/>
      <c r="I51" s="47"/>
      <c r="J51" s="47"/>
      <c r="K51" s="47"/>
    </row>
    <row r="52" ht="16.5" customHeight="1">
      <c r="A52" s="63"/>
      <c r="B52" s="63"/>
      <c r="C52" s="64"/>
      <c r="D52" s="64"/>
      <c r="E52" s="66"/>
      <c r="F52" s="47"/>
      <c r="G52" s="47"/>
      <c r="H52" s="47"/>
      <c r="I52" s="47"/>
      <c r="J52" s="47"/>
      <c r="K52" s="47"/>
    </row>
    <row r="53" ht="16.5" customHeight="1">
      <c r="A53" s="63"/>
      <c r="B53" s="63"/>
      <c r="C53" s="64"/>
      <c r="D53" s="64"/>
      <c r="E53" s="63"/>
      <c r="F53" s="47"/>
      <c r="G53" s="47"/>
      <c r="H53" s="47"/>
      <c r="I53" s="47"/>
      <c r="J53" s="47"/>
      <c r="K53" s="47"/>
    </row>
    <row r="54" ht="16.5" customHeight="1">
      <c r="A54" s="63"/>
      <c r="B54" s="63"/>
      <c r="C54" s="64"/>
      <c r="D54" s="64"/>
      <c r="E54" s="63"/>
      <c r="F54" s="47"/>
      <c r="G54" s="47"/>
      <c r="H54" s="47"/>
      <c r="I54" s="47"/>
      <c r="J54" s="47"/>
      <c r="K54" s="47"/>
    </row>
    <row r="55" ht="16.5" customHeight="1">
      <c r="A55" s="47"/>
      <c r="B55" s="47"/>
      <c r="C55" s="64"/>
      <c r="D55" s="47"/>
      <c r="E55" s="47"/>
      <c r="F55" s="47"/>
      <c r="G55" s="47"/>
      <c r="H55" s="47"/>
      <c r="I55" s="47"/>
      <c r="J55" s="47"/>
      <c r="K55" s="47"/>
    </row>
    <row r="56" ht="16.5" customHeight="1">
      <c r="A56" s="47"/>
      <c r="B56" s="47"/>
      <c r="C56" s="64"/>
      <c r="D56" s="47"/>
      <c r="E56" s="47"/>
      <c r="F56" s="47"/>
      <c r="G56" s="47"/>
      <c r="H56" s="47"/>
      <c r="I56" s="47"/>
      <c r="J56" s="47"/>
      <c r="K56" s="47"/>
    </row>
  </sheetData>
  <mergeCells count="5">
    <mergeCell ref="B1:C1"/>
    <mergeCell ref="D1:E1"/>
    <mergeCell ref="H1:I1"/>
    <mergeCell ref="J1:K1"/>
    <mergeCell ref="F1:G1"/>
  </mergeCells>
  <dataValidations count="1">
    <dataValidation type="list" allowBlank="1" showInputMessage="1" showErrorMessage="1" sqref="K32 I34">
      <formula1>"ELB,REL,CAL,SCH,VAL,CME,EPU,ANP,CRO,DIS,CSA,QTE,PLN,PNT,SEZ,PRO,ABA,CRP,ARM,MET,DET,INF,CAP,SCC,TIP"</formula1>
    </dataValidation>
  </dataValidations>
  <pageMargins left="0.15748" right="0.15748" top="0.354331" bottom="0.354331" header="0.15748" footer="0.15748"/>
  <pageSetup firstPageNumber="1" fitToHeight="1" fitToWidth="1" scale="69"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S226"/>
  <sheetViews>
    <sheetView workbookViewId="0" showGridLines="0" defaultGridColor="1"/>
  </sheetViews>
  <sheetFormatPr defaultColWidth="12.5" defaultRowHeight="15" customHeight="1" outlineLevelRow="0" outlineLevelCol="0"/>
  <cols>
    <col min="1" max="1" width="6.17188" style="67" customWidth="1"/>
    <col min="2" max="2" width="17.5234" style="67" customWidth="1"/>
    <col min="3" max="3" width="9.35156" style="67" customWidth="1"/>
    <col min="4" max="4" width="7.17188" style="67" customWidth="1"/>
    <col min="5" max="5" width="5.85156" style="67" customWidth="1"/>
    <col min="6" max="6" width="8.5" style="67" customWidth="1"/>
    <col min="7" max="7" width="5.67188" style="67" customWidth="1"/>
    <col min="8" max="8" width="6.67188" style="67" customWidth="1"/>
    <col min="9" max="9" width="7.5" style="67" customWidth="1"/>
    <col min="10" max="10" width="7.35156" style="67" customWidth="1"/>
    <col min="11" max="11" width="33.1719" style="67" customWidth="1"/>
    <col min="12" max="12" width="63.7578" style="67" customWidth="1"/>
    <col min="13" max="13" width="9.19531" style="67" customWidth="1"/>
    <col min="14" max="14" width="28.5" style="67" customWidth="1"/>
    <col min="15" max="15" width="11.1719" style="67" customWidth="1"/>
    <col min="16" max="16" width="11" style="67" customWidth="1"/>
    <col min="17" max="17" width="9.67188" style="67" customWidth="1"/>
    <col min="18" max="18" width="12.8516" style="67" customWidth="1"/>
    <col min="19" max="19" width="12.5" style="67" customWidth="1"/>
    <col min="20" max="16384" width="12.5" style="67" customWidth="1"/>
  </cols>
  <sheetData>
    <row r="1" ht="50.45" customHeight="1">
      <c r="A1" t="s" s="68">
        <v>140</v>
      </c>
      <c r="B1" s="69"/>
      <c r="C1" s="69"/>
      <c r="D1" s="69"/>
      <c r="E1" s="69"/>
      <c r="F1" s="69"/>
      <c r="G1" s="69"/>
      <c r="H1" s="69"/>
      <c r="I1" s="69"/>
      <c r="J1" s="69"/>
      <c r="K1" s="69"/>
      <c r="L1" s="69"/>
      <c r="M1" s="70"/>
      <c r="N1" s="71"/>
      <c r="O1" t="s" s="72">
        <v>141</v>
      </c>
      <c r="P1" t="s" s="73">
        <v>142</v>
      </c>
      <c r="Q1" t="s" s="73">
        <v>143</v>
      </c>
      <c r="R1" t="s" s="73">
        <v>144</v>
      </c>
      <c r="S1" t="s" s="74">
        <v>145</v>
      </c>
    </row>
    <row r="2" ht="16.7" customHeight="1">
      <c r="A2" t="s" s="75">
        <v>146</v>
      </c>
      <c r="B2" s="76"/>
      <c r="C2" s="76"/>
      <c r="D2" s="76"/>
      <c r="E2" s="76"/>
      <c r="F2" s="76"/>
      <c r="G2" s="76"/>
      <c r="H2" s="76"/>
      <c r="I2" s="76"/>
      <c r="J2" s="76"/>
      <c r="K2" s="76"/>
      <c r="L2" s="76"/>
      <c r="M2" s="77"/>
      <c r="N2" s="78"/>
      <c r="O2" s="79"/>
      <c r="P2" s="80"/>
      <c r="Q2" s="80"/>
      <c r="R2" s="80"/>
      <c r="S2" s="81"/>
    </row>
    <row r="3" ht="30" customHeight="1">
      <c r="A3" s="82"/>
      <c r="B3" t="s" s="83">
        <v>147</v>
      </c>
      <c r="C3" t="s" s="83">
        <v>148</v>
      </c>
      <c r="D3" t="s" s="83">
        <v>149</v>
      </c>
      <c r="E3" t="s" s="83">
        <v>150</v>
      </c>
      <c r="F3" t="s" s="83">
        <v>151</v>
      </c>
      <c r="G3" t="s" s="83">
        <v>152</v>
      </c>
      <c r="H3" t="s" s="83">
        <v>153</v>
      </c>
      <c r="I3" t="s" s="83">
        <v>154</v>
      </c>
      <c r="J3" t="s" s="83">
        <v>155</v>
      </c>
      <c r="K3" t="s" s="83">
        <v>156</v>
      </c>
      <c r="L3" t="s" s="83">
        <v>157</v>
      </c>
      <c r="M3" t="s" s="84">
        <v>158</v>
      </c>
      <c r="N3" t="s" s="85">
        <v>159</v>
      </c>
      <c r="O3" s="86"/>
      <c r="P3" s="87"/>
      <c r="Q3" s="87"/>
      <c r="R3" s="87"/>
      <c r="S3" s="88"/>
    </row>
    <row r="4" ht="30" customHeight="1">
      <c r="A4" s="89"/>
      <c r="B4" t="s" s="90">
        <v>160</v>
      </c>
      <c r="C4" t="s" s="91">
        <v>161</v>
      </c>
      <c r="D4" t="s" s="91">
        <v>35</v>
      </c>
      <c r="E4" t="s" s="91">
        <v>18</v>
      </c>
      <c r="F4" t="s" s="91">
        <v>20</v>
      </c>
      <c r="G4" t="s" s="91">
        <v>22</v>
      </c>
      <c r="H4" t="s" s="91">
        <v>23</v>
      </c>
      <c r="I4" t="s" s="91">
        <v>162</v>
      </c>
      <c r="J4" t="s" s="91">
        <v>163</v>
      </c>
      <c r="K4" t="s" s="92">
        <f>CONCATENATE(D4,".",E4,".",F4,".",G4,".",H4,".",I4,".",J4)</f>
        <v>164</v>
      </c>
      <c r="L4" t="s" s="93">
        <v>165</v>
      </c>
      <c r="M4" t="s" s="94">
        <v>166</v>
      </c>
      <c r="N4" s="95"/>
      <c r="O4" s="96"/>
      <c r="P4" s="97"/>
      <c r="Q4" s="98"/>
      <c r="R4" s="98"/>
      <c r="S4" s="99"/>
    </row>
    <row r="5" ht="30" customHeight="1">
      <c r="A5" s="89"/>
      <c r="B5" t="s" s="90">
        <v>160</v>
      </c>
      <c r="C5" t="s" s="91">
        <v>161</v>
      </c>
      <c r="D5" t="s" s="91">
        <v>35</v>
      </c>
      <c r="E5" t="s" s="91">
        <v>18</v>
      </c>
      <c r="F5" t="s" s="91">
        <v>20</v>
      </c>
      <c r="G5" t="s" s="91">
        <v>22</v>
      </c>
      <c r="H5" t="s" s="91">
        <v>33</v>
      </c>
      <c r="I5" t="s" s="91">
        <v>167</v>
      </c>
      <c r="J5" t="s" s="91">
        <v>163</v>
      </c>
      <c r="K5" t="s" s="92">
        <f>CONCATENATE(D5,".",E5,".",F5,".",G5,".",H5,".",I5,".",J5)</f>
        <v>168</v>
      </c>
      <c r="L5" t="s" s="93">
        <v>169</v>
      </c>
      <c r="M5" t="s" s="94">
        <v>166</v>
      </c>
      <c r="N5" s="95"/>
      <c r="O5" s="96"/>
      <c r="P5" s="97"/>
      <c r="Q5" s="97"/>
      <c r="R5" s="97"/>
      <c r="S5" s="99"/>
    </row>
    <row r="6" ht="30" customHeight="1">
      <c r="A6" s="89"/>
      <c r="B6" t="s" s="90">
        <v>160</v>
      </c>
      <c r="C6" t="s" s="91">
        <v>161</v>
      </c>
      <c r="D6" t="s" s="91">
        <v>35</v>
      </c>
      <c r="E6" t="s" s="91">
        <v>18</v>
      </c>
      <c r="F6" t="s" s="91">
        <v>20</v>
      </c>
      <c r="G6" t="s" s="91">
        <v>22</v>
      </c>
      <c r="H6" t="s" s="91">
        <v>33</v>
      </c>
      <c r="I6" t="s" s="91">
        <v>170</v>
      </c>
      <c r="J6" t="s" s="91">
        <v>163</v>
      </c>
      <c r="K6" t="s" s="92">
        <f>CONCATENATE(D6,".",E6,".",F6,".",G6,".",H6,".",I6,".",J6)</f>
        <v>171</v>
      </c>
      <c r="L6" t="s" s="93">
        <v>172</v>
      </c>
      <c r="M6" t="s" s="94">
        <v>166</v>
      </c>
      <c r="N6" s="95"/>
      <c r="O6" s="96"/>
      <c r="P6" s="97"/>
      <c r="Q6" s="97"/>
      <c r="R6" s="97"/>
      <c r="S6" s="99"/>
    </row>
    <row r="7" ht="30" customHeight="1">
      <c r="A7" s="89"/>
      <c r="B7" t="s" s="90">
        <v>160</v>
      </c>
      <c r="C7" t="s" s="91">
        <v>161</v>
      </c>
      <c r="D7" t="s" s="91">
        <v>35</v>
      </c>
      <c r="E7" t="s" s="91">
        <v>18</v>
      </c>
      <c r="F7" t="s" s="91">
        <v>20</v>
      </c>
      <c r="G7" t="s" s="91">
        <v>22</v>
      </c>
      <c r="H7" t="s" s="91">
        <v>23</v>
      </c>
      <c r="I7" t="s" s="91">
        <v>173</v>
      </c>
      <c r="J7" t="s" s="91">
        <v>163</v>
      </c>
      <c r="K7" t="s" s="92">
        <f>CONCATENATE(D7,".",E7,".",F7,".",G7,".",H7,".",I7,".",J7)</f>
        <v>174</v>
      </c>
      <c r="L7" t="s" s="93">
        <v>175</v>
      </c>
      <c r="M7" t="s" s="94">
        <v>166</v>
      </c>
      <c r="N7" s="95"/>
      <c r="O7" s="96"/>
      <c r="P7" s="97"/>
      <c r="Q7" s="97"/>
      <c r="R7" s="97"/>
      <c r="S7" s="99"/>
    </row>
    <row r="8" ht="30" customHeight="1">
      <c r="A8" s="89"/>
      <c r="B8" t="s" s="90">
        <v>160</v>
      </c>
      <c r="C8" t="s" s="91">
        <v>161</v>
      </c>
      <c r="D8" t="s" s="91">
        <v>35</v>
      </c>
      <c r="E8" t="s" s="91">
        <v>18</v>
      </c>
      <c r="F8" t="s" s="91">
        <v>20</v>
      </c>
      <c r="G8" t="s" s="91">
        <v>22</v>
      </c>
      <c r="H8" t="s" s="91">
        <v>33</v>
      </c>
      <c r="I8" t="s" s="91">
        <v>176</v>
      </c>
      <c r="J8" t="s" s="91">
        <v>163</v>
      </c>
      <c r="K8" t="s" s="92">
        <f>CONCATENATE(D8,".",E8,".",F8,".",G8,".",H8,".",I8,".",J8)</f>
        <v>177</v>
      </c>
      <c r="L8" t="s" s="93">
        <v>178</v>
      </c>
      <c r="M8" t="s" s="94">
        <v>166</v>
      </c>
      <c r="N8" s="95"/>
      <c r="O8" s="96"/>
      <c r="P8" s="97"/>
      <c r="Q8" s="97"/>
      <c r="R8" s="97"/>
      <c r="S8" s="99"/>
    </row>
    <row r="9" ht="30" customHeight="1">
      <c r="A9" s="89"/>
      <c r="B9" t="s" s="90">
        <v>160</v>
      </c>
      <c r="C9" t="s" s="91">
        <v>161</v>
      </c>
      <c r="D9" t="s" s="91">
        <v>35</v>
      </c>
      <c r="E9" t="s" s="91">
        <v>18</v>
      </c>
      <c r="F9" t="s" s="91">
        <v>20</v>
      </c>
      <c r="G9" t="s" s="91">
        <v>22</v>
      </c>
      <c r="H9" t="s" s="91">
        <v>33</v>
      </c>
      <c r="I9" t="s" s="91">
        <v>179</v>
      </c>
      <c r="J9" t="s" s="91">
        <v>163</v>
      </c>
      <c r="K9" t="s" s="92">
        <f>CONCATENATE(D9,".",E9,".",F9,".",G9,".",H9,".",I9,".",J9)</f>
        <v>180</v>
      </c>
      <c r="L9" t="s" s="93">
        <v>181</v>
      </c>
      <c r="M9" t="s" s="94">
        <v>166</v>
      </c>
      <c r="N9" s="95"/>
      <c r="O9" s="96"/>
      <c r="P9" s="97"/>
      <c r="Q9" s="97"/>
      <c r="R9" s="97"/>
      <c r="S9" s="99"/>
    </row>
    <row r="10" ht="30" customHeight="1">
      <c r="A10" s="89"/>
      <c r="B10" t="s" s="90">
        <v>160</v>
      </c>
      <c r="C10" t="s" s="91">
        <v>161</v>
      </c>
      <c r="D10" t="s" s="91">
        <v>35</v>
      </c>
      <c r="E10" t="s" s="91">
        <v>18</v>
      </c>
      <c r="F10" t="s" s="91">
        <v>20</v>
      </c>
      <c r="G10" t="s" s="91">
        <v>22</v>
      </c>
      <c r="H10" t="s" s="91">
        <v>33</v>
      </c>
      <c r="I10" t="s" s="91">
        <v>182</v>
      </c>
      <c r="J10" t="s" s="91">
        <v>163</v>
      </c>
      <c r="K10" t="s" s="92">
        <f>CONCATENATE(D10,".",E10,".",F10,".",G10,".",H10,".",I10,".",J10)</f>
        <v>183</v>
      </c>
      <c r="L10" t="s" s="93">
        <v>184</v>
      </c>
      <c r="M10" t="s" s="94">
        <v>166</v>
      </c>
      <c r="N10" s="95"/>
      <c r="O10" s="96"/>
      <c r="P10" s="97"/>
      <c r="Q10" s="97"/>
      <c r="R10" s="97"/>
      <c r="S10" s="99"/>
    </row>
    <row r="11" ht="30" customHeight="1">
      <c r="A11" s="89"/>
      <c r="B11" t="s" s="90">
        <v>160</v>
      </c>
      <c r="C11" t="s" s="91">
        <v>161</v>
      </c>
      <c r="D11" t="s" s="91">
        <v>35</v>
      </c>
      <c r="E11" t="s" s="91">
        <v>18</v>
      </c>
      <c r="F11" t="s" s="91">
        <v>20</v>
      </c>
      <c r="G11" t="s" s="91">
        <v>22</v>
      </c>
      <c r="H11" t="s" s="91">
        <v>33</v>
      </c>
      <c r="I11" t="s" s="91">
        <v>185</v>
      </c>
      <c r="J11" t="s" s="91">
        <v>163</v>
      </c>
      <c r="K11" t="s" s="92">
        <f>CONCATENATE(D11,".",E11,".",F11,".",G11,".",H11,".",I11,".",J11)</f>
        <v>186</v>
      </c>
      <c r="L11" t="s" s="93">
        <v>187</v>
      </c>
      <c r="M11" t="s" s="94">
        <v>166</v>
      </c>
      <c r="N11" s="95"/>
      <c r="O11" s="96"/>
      <c r="P11" s="97"/>
      <c r="Q11" s="97"/>
      <c r="R11" s="97"/>
      <c r="S11" s="99"/>
    </row>
    <row r="12" ht="30" customHeight="1">
      <c r="A12" s="100"/>
      <c r="B12" t="s" s="90">
        <v>160</v>
      </c>
      <c r="C12" t="s" s="91">
        <v>161</v>
      </c>
      <c r="D12" t="s" s="91">
        <v>35</v>
      </c>
      <c r="E12" t="s" s="91">
        <v>18</v>
      </c>
      <c r="F12" t="s" s="91">
        <v>20</v>
      </c>
      <c r="G12" t="s" s="91">
        <v>22</v>
      </c>
      <c r="H12" t="s" s="91">
        <v>33</v>
      </c>
      <c r="I12" t="s" s="91">
        <v>188</v>
      </c>
      <c r="J12" t="s" s="91">
        <v>163</v>
      </c>
      <c r="K12" t="s" s="92">
        <f>CONCATENATE(D12,".",E12,".",F12,".",G12,".",H12,".",I12,".",J12)</f>
        <v>189</v>
      </c>
      <c r="L12" t="s" s="93">
        <v>190</v>
      </c>
      <c r="M12" t="s" s="94">
        <v>166</v>
      </c>
      <c r="N12" s="95"/>
      <c r="O12" s="96"/>
      <c r="P12" s="97"/>
      <c r="Q12" s="97"/>
      <c r="R12" s="97"/>
      <c r="S12" s="99"/>
    </row>
    <row r="13" ht="30" customHeight="1">
      <c r="A13" s="101"/>
      <c r="B13" t="s" s="90">
        <v>160</v>
      </c>
      <c r="C13" t="s" s="91">
        <v>161</v>
      </c>
      <c r="D13" t="s" s="91">
        <v>35</v>
      </c>
      <c r="E13" t="s" s="91">
        <v>18</v>
      </c>
      <c r="F13" t="s" s="91">
        <v>20</v>
      </c>
      <c r="G13" t="s" s="91">
        <v>22</v>
      </c>
      <c r="H13" t="s" s="91">
        <v>23</v>
      </c>
      <c r="I13" t="s" s="91">
        <v>191</v>
      </c>
      <c r="J13" t="s" s="91">
        <v>163</v>
      </c>
      <c r="K13" t="s" s="92">
        <f>CONCATENATE(D13,".",E13,".",F13,".",G13,".",H13,".",I13,".",J13)</f>
        <v>192</v>
      </c>
      <c r="L13" t="s" s="93">
        <v>193</v>
      </c>
      <c r="M13" t="s" s="94">
        <v>166</v>
      </c>
      <c r="N13" s="95"/>
      <c r="O13" s="96"/>
      <c r="P13" s="97"/>
      <c r="Q13" s="97"/>
      <c r="R13" s="97"/>
      <c r="S13" s="99"/>
    </row>
    <row r="14" ht="30" customHeight="1">
      <c r="A14" s="89"/>
      <c r="B14" t="s" s="90">
        <v>160</v>
      </c>
      <c r="C14" t="s" s="91">
        <v>161</v>
      </c>
      <c r="D14" t="s" s="91">
        <v>35</v>
      </c>
      <c r="E14" t="s" s="91">
        <v>18</v>
      </c>
      <c r="F14" t="s" s="91">
        <v>20</v>
      </c>
      <c r="G14" t="s" s="91">
        <v>22</v>
      </c>
      <c r="H14" t="s" s="91">
        <v>85</v>
      </c>
      <c r="I14" t="s" s="91">
        <v>194</v>
      </c>
      <c r="J14" t="s" s="91">
        <v>163</v>
      </c>
      <c r="K14" t="s" s="92">
        <f>CONCATENATE(D14,".",E14,".",F14,".",G14,".",H14,".",I14,".",J14)</f>
        <v>195</v>
      </c>
      <c r="L14" t="s" s="93">
        <v>196</v>
      </c>
      <c r="M14" t="s" s="94">
        <v>166</v>
      </c>
      <c r="N14" s="95"/>
      <c r="O14" s="96"/>
      <c r="P14" s="97"/>
      <c r="Q14" s="97"/>
      <c r="R14" s="97"/>
      <c r="S14" s="99"/>
    </row>
    <row r="15" ht="30" customHeight="1">
      <c r="A15" s="89"/>
      <c r="B15" t="s" s="90">
        <v>160</v>
      </c>
      <c r="C15" t="s" s="91">
        <v>161</v>
      </c>
      <c r="D15" t="s" s="91">
        <v>35</v>
      </c>
      <c r="E15" t="s" s="91">
        <v>18</v>
      </c>
      <c r="F15" t="s" s="91">
        <v>20</v>
      </c>
      <c r="G15" t="s" s="91">
        <v>22</v>
      </c>
      <c r="H15" t="s" s="91">
        <v>98</v>
      </c>
      <c r="I15" t="s" s="91">
        <v>197</v>
      </c>
      <c r="J15" t="s" s="91">
        <v>163</v>
      </c>
      <c r="K15" t="s" s="92">
        <f>CONCATENATE(D15,".",E15,".",F15,".",G15,".",H15,".",I15,".",J15)</f>
        <v>198</v>
      </c>
      <c r="L15" t="s" s="93">
        <v>99</v>
      </c>
      <c r="M15" t="s" s="94">
        <v>166</v>
      </c>
      <c r="N15" s="95"/>
      <c r="O15" s="96"/>
      <c r="P15" s="97"/>
      <c r="Q15" s="98"/>
      <c r="R15" s="98"/>
      <c r="S15" s="99"/>
    </row>
    <row r="16" ht="30" customHeight="1">
      <c r="A16" s="89"/>
      <c r="B16" t="s" s="90">
        <v>160</v>
      </c>
      <c r="C16" t="s" s="91">
        <v>161</v>
      </c>
      <c r="D16" t="s" s="91">
        <v>35</v>
      </c>
      <c r="E16" t="s" s="91">
        <v>18</v>
      </c>
      <c r="F16" t="s" s="91">
        <v>20</v>
      </c>
      <c r="G16" t="s" s="91">
        <v>22</v>
      </c>
      <c r="H16" t="s" s="91">
        <v>68</v>
      </c>
      <c r="I16" t="s" s="91">
        <v>199</v>
      </c>
      <c r="J16" t="s" s="91">
        <v>163</v>
      </c>
      <c r="K16" t="s" s="92">
        <f>CONCATENATE(D16,".",E16,".",F16,".",G16,".",H16,".",I16,".",J16)</f>
        <v>200</v>
      </c>
      <c r="L16" t="s" s="93">
        <v>201</v>
      </c>
      <c r="M16" t="s" s="94">
        <v>166</v>
      </c>
      <c r="N16" s="95"/>
      <c r="O16" s="96"/>
      <c r="P16" s="97"/>
      <c r="Q16" s="97"/>
      <c r="R16" s="97"/>
      <c r="S16" s="99"/>
    </row>
    <row r="17" ht="30" customHeight="1">
      <c r="A17" s="89"/>
      <c r="B17" t="s" s="90">
        <v>160</v>
      </c>
      <c r="C17" t="s" s="91">
        <v>161</v>
      </c>
      <c r="D17" t="s" s="91">
        <v>35</v>
      </c>
      <c r="E17" t="s" s="91">
        <v>18</v>
      </c>
      <c r="F17" t="s" s="91">
        <v>20</v>
      </c>
      <c r="G17" t="s" s="91">
        <v>22</v>
      </c>
      <c r="H17" t="s" s="91">
        <v>68</v>
      </c>
      <c r="I17" t="s" s="91">
        <v>202</v>
      </c>
      <c r="J17" t="s" s="91">
        <v>163</v>
      </c>
      <c r="K17" t="s" s="92">
        <f>CONCATENATE(D17,".",E17,".",F17,".",G17,".",H17,".",I17,".",J17)</f>
        <v>203</v>
      </c>
      <c r="L17" t="s" s="93">
        <v>204</v>
      </c>
      <c r="M17" t="s" s="94">
        <v>166</v>
      </c>
      <c r="N17" s="95"/>
      <c r="O17" s="96"/>
      <c r="P17" s="97"/>
      <c r="Q17" s="97"/>
      <c r="R17" s="97"/>
      <c r="S17" s="99"/>
    </row>
    <row r="18" ht="30" customHeight="1">
      <c r="A18" s="89"/>
      <c r="B18" t="s" s="90">
        <v>160</v>
      </c>
      <c r="C18" t="s" s="91">
        <v>161</v>
      </c>
      <c r="D18" t="s" s="91">
        <v>35</v>
      </c>
      <c r="E18" t="s" s="91">
        <v>18</v>
      </c>
      <c r="F18" t="s" s="91">
        <v>20</v>
      </c>
      <c r="G18" t="s" s="91">
        <v>22</v>
      </c>
      <c r="H18" t="s" s="91">
        <v>75</v>
      </c>
      <c r="I18" t="s" s="91">
        <v>205</v>
      </c>
      <c r="J18" t="s" s="91">
        <v>163</v>
      </c>
      <c r="K18" t="s" s="92">
        <f>CONCATENATE(D18,".",E18,".",F18,".",G18,".",H18,".",I18,".",J18)</f>
        <v>206</v>
      </c>
      <c r="L18" t="s" s="93">
        <v>207</v>
      </c>
      <c r="M18" t="s" s="94">
        <v>166</v>
      </c>
      <c r="N18" s="95"/>
      <c r="O18" s="96"/>
      <c r="P18" s="97"/>
      <c r="Q18" s="97"/>
      <c r="R18" s="97"/>
      <c r="S18" s="99"/>
    </row>
    <row r="19" ht="30" customHeight="1">
      <c r="A19" s="102"/>
      <c r="B19" t="s" s="90">
        <v>160</v>
      </c>
      <c r="C19" t="s" s="91">
        <v>161</v>
      </c>
      <c r="D19" t="s" s="91">
        <v>35</v>
      </c>
      <c r="E19" t="s" s="91">
        <v>18</v>
      </c>
      <c r="F19" t="s" s="91">
        <v>20</v>
      </c>
      <c r="G19" t="s" s="91">
        <v>22</v>
      </c>
      <c r="H19" t="s" s="91">
        <v>75</v>
      </c>
      <c r="I19" t="s" s="91">
        <v>208</v>
      </c>
      <c r="J19" t="s" s="91">
        <v>163</v>
      </c>
      <c r="K19" t="s" s="92">
        <f>CONCATENATE(D19,".",E19,".",F19,".",G19,".",H19,".",I19,".",J19)</f>
        <v>209</v>
      </c>
      <c r="L19" t="s" s="93">
        <v>210</v>
      </c>
      <c r="M19" t="s" s="94">
        <v>166</v>
      </c>
      <c r="N19" s="103"/>
      <c r="O19" s="104"/>
      <c r="P19" s="105"/>
      <c r="Q19" s="105"/>
      <c r="R19" s="105"/>
      <c r="S19" s="106"/>
    </row>
    <row r="20" ht="30" customHeight="1">
      <c r="A20" s="102"/>
      <c r="B20" t="s" s="90">
        <v>160</v>
      </c>
      <c r="C20" t="s" s="91">
        <v>161</v>
      </c>
      <c r="D20" t="s" s="91">
        <v>35</v>
      </c>
      <c r="E20" t="s" s="91">
        <v>18</v>
      </c>
      <c r="F20" t="s" s="91">
        <v>20</v>
      </c>
      <c r="G20" t="s" s="91">
        <v>22</v>
      </c>
      <c r="H20" t="s" s="91">
        <v>68</v>
      </c>
      <c r="I20" t="s" s="91">
        <v>211</v>
      </c>
      <c r="J20" t="s" s="91">
        <v>163</v>
      </c>
      <c r="K20" t="s" s="92">
        <f>CONCATENATE(D20,".",E20,".",F20,".",G20,".",H20,".",I20,".",J20)</f>
        <v>212</v>
      </c>
      <c r="L20" t="s" s="93">
        <v>213</v>
      </c>
      <c r="M20" t="s" s="94">
        <v>166</v>
      </c>
      <c r="N20" s="103"/>
      <c r="O20" s="104"/>
      <c r="P20" s="105"/>
      <c r="Q20" s="105"/>
      <c r="R20" s="105"/>
      <c r="S20" s="106"/>
    </row>
    <row r="21" ht="30" customHeight="1">
      <c r="A21" s="107"/>
      <c r="B21" t="s" s="90">
        <v>160</v>
      </c>
      <c r="C21" t="s" s="91">
        <v>161</v>
      </c>
      <c r="D21" t="s" s="91">
        <v>35</v>
      </c>
      <c r="E21" t="s" s="91">
        <v>18</v>
      </c>
      <c r="F21" t="s" s="91">
        <v>20</v>
      </c>
      <c r="G21" t="s" s="91">
        <v>22</v>
      </c>
      <c r="H21" t="s" s="91">
        <v>68</v>
      </c>
      <c r="I21" t="s" s="91">
        <v>214</v>
      </c>
      <c r="J21" t="s" s="91">
        <v>163</v>
      </c>
      <c r="K21" t="s" s="92">
        <f>CONCATENATE(D21,".",E21,".",F21,".",G21,".",H21,".",I21,".",J21)</f>
        <v>215</v>
      </c>
      <c r="L21" t="s" s="93">
        <v>216</v>
      </c>
      <c r="M21" s="94"/>
      <c r="N21" s="103"/>
      <c r="O21" s="108"/>
      <c r="P21" s="109"/>
      <c r="Q21" s="109"/>
      <c r="R21" s="109"/>
      <c r="S21" s="110"/>
    </row>
    <row r="22" ht="30" customHeight="1">
      <c r="A22" t="s" s="111">
        <v>217</v>
      </c>
      <c r="B22" s="112"/>
      <c r="C22" s="112"/>
      <c r="D22" s="112"/>
      <c r="E22" s="112"/>
      <c r="F22" s="112"/>
      <c r="G22" s="112"/>
      <c r="H22" s="112"/>
      <c r="I22" s="112"/>
      <c r="J22" s="112"/>
      <c r="K22" s="112"/>
      <c r="L22" s="112"/>
      <c r="M22" s="113"/>
      <c r="N22" s="114"/>
      <c r="O22" s="115"/>
      <c r="P22" s="116"/>
      <c r="Q22" s="116"/>
      <c r="R22" s="116"/>
      <c r="S22" s="117"/>
    </row>
    <row r="23" ht="30" customHeight="1">
      <c r="A23" s="101"/>
      <c r="B23" t="s" s="90">
        <v>160</v>
      </c>
      <c r="C23" t="s" s="91">
        <v>161</v>
      </c>
      <c r="D23" t="s" s="91">
        <v>35</v>
      </c>
      <c r="E23" t="s" s="91">
        <v>27</v>
      </c>
      <c r="F23" t="s" s="91">
        <v>20</v>
      </c>
      <c r="G23" t="s" s="91">
        <v>22</v>
      </c>
      <c r="H23" t="s" s="91">
        <v>33</v>
      </c>
      <c r="I23" t="s" s="91">
        <v>218</v>
      </c>
      <c r="J23" t="s" s="91">
        <v>163</v>
      </c>
      <c r="K23" t="s" s="92">
        <f>CONCATENATE(D23,".",E23,".",F23,".",G23,".",H23,".",I23,".",J23)</f>
        <v>219</v>
      </c>
      <c r="L23" t="s" s="93">
        <v>220</v>
      </c>
      <c r="M23" t="s" s="94">
        <v>166</v>
      </c>
      <c r="N23" s="95"/>
      <c r="O23" s="118"/>
      <c r="P23" s="119"/>
      <c r="Q23" s="119"/>
      <c r="R23" s="119"/>
      <c r="S23" s="120"/>
    </row>
    <row r="24" ht="30" customHeight="1">
      <c r="A24" s="89"/>
      <c r="B24" t="s" s="90">
        <v>160</v>
      </c>
      <c r="C24" t="s" s="91">
        <v>161</v>
      </c>
      <c r="D24" t="s" s="91">
        <v>35</v>
      </c>
      <c r="E24" t="s" s="91">
        <v>27</v>
      </c>
      <c r="F24" t="s" s="91">
        <v>20</v>
      </c>
      <c r="G24" t="s" s="91">
        <v>22</v>
      </c>
      <c r="H24" t="s" s="91">
        <v>33</v>
      </c>
      <c r="I24" t="s" s="91">
        <v>221</v>
      </c>
      <c r="J24" t="s" s="91">
        <v>163</v>
      </c>
      <c r="K24" t="s" s="92">
        <f>CONCATENATE(D24,".",E24,".",F24,".",G24,".",H24,".",I24,".",J24)</f>
        <v>222</v>
      </c>
      <c r="L24" t="s" s="93">
        <v>223</v>
      </c>
      <c r="M24" t="s" s="94">
        <v>166</v>
      </c>
      <c r="N24" s="95"/>
      <c r="O24" s="96"/>
      <c r="P24" s="97"/>
      <c r="Q24" s="97"/>
      <c r="R24" s="97"/>
      <c r="S24" s="99"/>
    </row>
    <row r="25" ht="30" customHeight="1">
      <c r="A25" s="89"/>
      <c r="B25" t="s" s="90">
        <v>160</v>
      </c>
      <c r="C25" t="s" s="91">
        <v>161</v>
      </c>
      <c r="D25" t="s" s="91">
        <v>35</v>
      </c>
      <c r="E25" t="s" s="91">
        <v>27</v>
      </c>
      <c r="F25" t="s" s="91">
        <v>20</v>
      </c>
      <c r="G25" t="s" s="91">
        <v>22</v>
      </c>
      <c r="H25" t="s" s="91">
        <v>133</v>
      </c>
      <c r="I25" t="s" s="91">
        <v>224</v>
      </c>
      <c r="J25" t="s" s="91">
        <v>163</v>
      </c>
      <c r="K25" t="s" s="92">
        <f>CONCATENATE(D25,".",E25,".",F25,".",G25,".",H25,".",I25,".",J25)</f>
        <v>225</v>
      </c>
      <c r="L25" t="s" s="93">
        <v>226</v>
      </c>
      <c r="M25" t="s" s="94">
        <v>166</v>
      </c>
      <c r="N25" s="95"/>
      <c r="O25" s="96"/>
      <c r="P25" s="97"/>
      <c r="Q25" s="97"/>
      <c r="R25" s="97"/>
      <c r="S25" s="99"/>
    </row>
    <row r="26" ht="30" customHeight="1">
      <c r="A26" s="89"/>
      <c r="B26" t="s" s="90">
        <v>160</v>
      </c>
      <c r="C26" t="s" s="91">
        <v>161</v>
      </c>
      <c r="D26" t="s" s="91">
        <v>35</v>
      </c>
      <c r="E26" t="s" s="91">
        <v>27</v>
      </c>
      <c r="F26" t="s" s="91">
        <v>20</v>
      </c>
      <c r="G26" t="s" s="91">
        <v>22</v>
      </c>
      <c r="H26" t="s" s="91">
        <v>68</v>
      </c>
      <c r="I26" t="s" s="91">
        <v>227</v>
      </c>
      <c r="J26" t="s" s="91">
        <v>163</v>
      </c>
      <c r="K26" t="s" s="92">
        <f>CONCATENATE(D26,".",E26,".",F26,".",G26,".",H26,".",I26,".",J26)</f>
        <v>228</v>
      </c>
      <c r="L26" t="s" s="93">
        <v>229</v>
      </c>
      <c r="M26" s="94"/>
      <c r="N26" s="95"/>
      <c r="O26" s="96"/>
      <c r="P26" s="97"/>
      <c r="Q26" s="97"/>
      <c r="R26" s="97"/>
      <c r="S26" s="99"/>
    </row>
    <row r="27" ht="30" customHeight="1">
      <c r="A27" s="89"/>
      <c r="B27" t="s" s="90">
        <v>160</v>
      </c>
      <c r="C27" t="s" s="91">
        <v>161</v>
      </c>
      <c r="D27" t="s" s="91">
        <v>35</v>
      </c>
      <c r="E27" t="s" s="91">
        <v>27</v>
      </c>
      <c r="F27" t="s" s="91">
        <v>20</v>
      </c>
      <c r="G27" t="s" s="91">
        <v>22</v>
      </c>
      <c r="H27" t="s" s="91">
        <v>68</v>
      </c>
      <c r="I27" t="s" s="91">
        <v>230</v>
      </c>
      <c r="J27" t="s" s="91">
        <v>163</v>
      </c>
      <c r="K27" t="s" s="92">
        <f>CONCATENATE(D27,".",E27,".",F27,".",G27,".",H27,".",I27,".",J27)</f>
        <v>231</v>
      </c>
      <c r="L27" t="s" s="93">
        <v>232</v>
      </c>
      <c r="M27" s="94"/>
      <c r="N27" s="95"/>
      <c r="O27" s="96"/>
      <c r="P27" s="97"/>
      <c r="Q27" s="97"/>
      <c r="R27" s="97"/>
      <c r="S27" s="99"/>
    </row>
    <row r="28" ht="30" customHeight="1">
      <c r="A28" s="89"/>
      <c r="B28" t="s" s="90">
        <v>160</v>
      </c>
      <c r="C28" t="s" s="91">
        <v>161</v>
      </c>
      <c r="D28" t="s" s="91">
        <v>35</v>
      </c>
      <c r="E28" t="s" s="91">
        <v>27</v>
      </c>
      <c r="F28" t="s" s="91">
        <v>20</v>
      </c>
      <c r="G28" t="s" s="91">
        <v>22</v>
      </c>
      <c r="H28" t="s" s="91">
        <v>75</v>
      </c>
      <c r="I28" t="s" s="91">
        <v>233</v>
      </c>
      <c r="J28" t="s" s="91">
        <v>163</v>
      </c>
      <c r="K28" t="s" s="92">
        <f>CONCATENATE(D28,".",E28,".",F28,".",G28,".",H28,".",I28,".",J28)</f>
        <v>234</v>
      </c>
      <c r="L28" t="s" s="93">
        <v>235</v>
      </c>
      <c r="M28" s="94"/>
      <c r="N28" s="95"/>
      <c r="O28" s="96"/>
      <c r="P28" s="97"/>
      <c r="Q28" s="97"/>
      <c r="R28" s="97"/>
      <c r="S28" s="99"/>
    </row>
    <row r="29" ht="30" customHeight="1">
      <c r="A29" s="100"/>
      <c r="B29" t="s" s="90">
        <v>160</v>
      </c>
      <c r="C29" t="s" s="91">
        <v>161</v>
      </c>
      <c r="D29" t="s" s="91">
        <v>35</v>
      </c>
      <c r="E29" t="s" s="91">
        <v>27</v>
      </c>
      <c r="F29" t="s" s="91">
        <v>20</v>
      </c>
      <c r="G29" t="s" s="91">
        <v>22</v>
      </c>
      <c r="H29" t="s" s="91">
        <v>23</v>
      </c>
      <c r="I29" t="s" s="91">
        <v>236</v>
      </c>
      <c r="J29" t="s" s="91">
        <v>163</v>
      </c>
      <c r="K29" t="s" s="92">
        <f>CONCATENATE(D29,".",E29,".",F29,".",G29,".",H29,".",I29,".",J29)</f>
        <v>237</v>
      </c>
      <c r="L29" t="s" s="93">
        <v>238</v>
      </c>
      <c r="M29" s="94"/>
      <c r="N29" s="95"/>
      <c r="O29" s="121"/>
      <c r="P29" s="122"/>
      <c r="Q29" s="122"/>
      <c r="R29" s="122"/>
      <c r="S29" s="123"/>
    </row>
    <row r="30" ht="30" customHeight="1">
      <c r="A30" t="s" s="124">
        <v>239</v>
      </c>
      <c r="B30" s="112"/>
      <c r="C30" s="112"/>
      <c r="D30" s="112"/>
      <c r="E30" s="112"/>
      <c r="F30" s="112"/>
      <c r="G30" s="112"/>
      <c r="H30" s="112"/>
      <c r="I30" s="112"/>
      <c r="J30" s="112"/>
      <c r="K30" s="112"/>
      <c r="L30" s="112"/>
      <c r="M30" s="113"/>
      <c r="N30" s="114"/>
      <c r="O30" s="115"/>
      <c r="P30" s="116"/>
      <c r="Q30" s="116"/>
      <c r="R30" s="116"/>
      <c r="S30" s="117"/>
    </row>
    <row r="31" ht="30" customHeight="1">
      <c r="A31" s="89"/>
      <c r="B31" t="s" s="90">
        <v>160</v>
      </c>
      <c r="C31" t="s" s="91">
        <v>161</v>
      </c>
      <c r="D31" t="s" s="91">
        <v>35</v>
      </c>
      <c r="E31" t="s" s="91">
        <v>37</v>
      </c>
      <c r="F31" t="s" s="91">
        <v>20</v>
      </c>
      <c r="G31" t="s" s="91">
        <v>22</v>
      </c>
      <c r="H31" t="s" s="91">
        <v>33</v>
      </c>
      <c r="I31" t="s" s="91">
        <v>240</v>
      </c>
      <c r="J31" t="s" s="91">
        <v>163</v>
      </c>
      <c r="K31" t="s" s="92">
        <f>CONCATENATE(D31,".",E31,".",F31,".",G31,".",H31,".",I31,".",J31)</f>
        <v>241</v>
      </c>
      <c r="L31" t="s" s="93">
        <v>242</v>
      </c>
      <c r="M31" t="s" s="94">
        <v>166</v>
      </c>
      <c r="N31" s="95"/>
      <c r="O31" s="118"/>
      <c r="P31" s="119"/>
      <c r="Q31" s="119"/>
      <c r="R31" s="119"/>
      <c r="S31" s="125"/>
    </row>
    <row r="32" ht="30" customHeight="1">
      <c r="A32" s="89"/>
      <c r="B32" t="s" s="90">
        <v>160</v>
      </c>
      <c r="C32" t="s" s="91">
        <v>161</v>
      </c>
      <c r="D32" t="s" s="91">
        <v>35</v>
      </c>
      <c r="E32" t="s" s="91">
        <v>37</v>
      </c>
      <c r="F32" t="s" s="91">
        <v>20</v>
      </c>
      <c r="G32" t="s" s="91">
        <v>22</v>
      </c>
      <c r="H32" t="s" s="91">
        <v>33</v>
      </c>
      <c r="I32" t="s" s="91">
        <v>243</v>
      </c>
      <c r="J32" t="s" s="91">
        <v>163</v>
      </c>
      <c r="K32" t="s" s="92">
        <f>CONCATENATE(D32,".",E32,".",F32,".",G32,".",H32,".",I32,".",J32)</f>
        <v>244</v>
      </c>
      <c r="L32" t="s" s="93">
        <v>245</v>
      </c>
      <c r="M32" t="s" s="94">
        <v>166</v>
      </c>
      <c r="N32" s="95"/>
      <c r="O32" s="96"/>
      <c r="P32" s="97"/>
      <c r="Q32" s="97"/>
      <c r="R32" s="97"/>
      <c r="S32" s="99"/>
    </row>
    <row r="33" ht="30" customHeight="1">
      <c r="A33" s="100"/>
      <c r="B33" t="s" s="90">
        <v>160</v>
      </c>
      <c r="C33" t="s" s="91">
        <v>161</v>
      </c>
      <c r="D33" t="s" s="91">
        <v>35</v>
      </c>
      <c r="E33" t="s" s="91">
        <v>37</v>
      </c>
      <c r="F33" t="s" s="91">
        <v>20</v>
      </c>
      <c r="G33" t="s" s="91">
        <v>22</v>
      </c>
      <c r="H33" t="s" s="91">
        <v>33</v>
      </c>
      <c r="I33" t="s" s="91">
        <v>246</v>
      </c>
      <c r="J33" t="s" s="91">
        <v>163</v>
      </c>
      <c r="K33" t="s" s="92">
        <f>CONCATENATE(D33,".",E33,".",F33,".",G33,".",H33,".",I33,".",J33)</f>
        <v>247</v>
      </c>
      <c r="L33" t="s" s="93">
        <v>248</v>
      </c>
      <c r="M33" t="s" s="94">
        <v>166</v>
      </c>
      <c r="N33" s="95"/>
      <c r="O33" s="96"/>
      <c r="P33" s="97"/>
      <c r="Q33" s="97"/>
      <c r="R33" s="97"/>
      <c r="S33" s="99"/>
    </row>
    <row r="34" ht="30" customHeight="1">
      <c r="A34" s="101"/>
      <c r="B34" t="s" s="90">
        <v>160</v>
      </c>
      <c r="C34" t="s" s="91">
        <v>161</v>
      </c>
      <c r="D34" t="s" s="91">
        <v>35</v>
      </c>
      <c r="E34" t="s" s="91">
        <v>37</v>
      </c>
      <c r="F34" t="s" s="91">
        <v>20</v>
      </c>
      <c r="G34" t="s" s="91">
        <v>22</v>
      </c>
      <c r="H34" t="s" s="91">
        <v>33</v>
      </c>
      <c r="I34" t="s" s="91">
        <v>249</v>
      </c>
      <c r="J34" t="s" s="91">
        <v>163</v>
      </c>
      <c r="K34" t="s" s="92">
        <f>CONCATENATE(D34,".",E34,".",F34,".",G34,".",H34,".",I34,".",J34)</f>
        <v>250</v>
      </c>
      <c r="L34" t="s" s="93">
        <v>251</v>
      </c>
      <c r="M34" t="s" s="94">
        <v>166</v>
      </c>
      <c r="N34" s="95"/>
      <c r="O34" s="96"/>
      <c r="P34" s="97"/>
      <c r="Q34" s="97"/>
      <c r="R34" s="97"/>
      <c r="S34" s="99"/>
    </row>
    <row r="35" ht="30" customHeight="1">
      <c r="A35" s="89"/>
      <c r="B35" t="s" s="90">
        <v>160</v>
      </c>
      <c r="C35" t="s" s="91">
        <v>161</v>
      </c>
      <c r="D35" t="s" s="91">
        <v>35</v>
      </c>
      <c r="E35" t="s" s="91">
        <v>37</v>
      </c>
      <c r="F35" t="s" s="91">
        <v>20</v>
      </c>
      <c r="G35" t="s" s="91">
        <v>22</v>
      </c>
      <c r="H35" t="s" s="91">
        <v>33</v>
      </c>
      <c r="I35" t="s" s="91">
        <v>252</v>
      </c>
      <c r="J35" t="s" s="91">
        <v>163</v>
      </c>
      <c r="K35" t="s" s="92">
        <f>CONCATENATE(D35,".",E35,".",F35,".",G35,".",H35,".",I35,".",J35)</f>
        <v>253</v>
      </c>
      <c r="L35" t="s" s="93">
        <v>254</v>
      </c>
      <c r="M35" t="s" s="94">
        <v>166</v>
      </c>
      <c r="N35" s="95"/>
      <c r="O35" s="96"/>
      <c r="P35" s="97"/>
      <c r="Q35" s="97"/>
      <c r="R35" s="97"/>
      <c r="S35" s="99"/>
    </row>
    <row r="36" ht="30" customHeight="1">
      <c r="A36" s="89"/>
      <c r="B36" t="s" s="90">
        <v>160</v>
      </c>
      <c r="C36" t="s" s="91">
        <v>161</v>
      </c>
      <c r="D36" t="s" s="91">
        <v>35</v>
      </c>
      <c r="E36" t="s" s="91">
        <v>37</v>
      </c>
      <c r="F36" t="s" s="91">
        <v>20</v>
      </c>
      <c r="G36" t="s" s="91">
        <v>22</v>
      </c>
      <c r="H36" t="s" s="91">
        <v>33</v>
      </c>
      <c r="I36" t="s" s="91">
        <v>255</v>
      </c>
      <c r="J36" t="s" s="91">
        <v>163</v>
      </c>
      <c r="K36" t="s" s="92">
        <f>CONCATENATE(D36,".",E36,".",F36,".",G36,".",H36,".",I36,".",J36)</f>
        <v>256</v>
      </c>
      <c r="L36" t="s" s="93">
        <v>257</v>
      </c>
      <c r="M36" t="s" s="94">
        <v>166</v>
      </c>
      <c r="N36" s="95"/>
      <c r="O36" s="96"/>
      <c r="P36" s="97"/>
      <c r="Q36" s="97"/>
      <c r="R36" s="97"/>
      <c r="S36" s="99"/>
    </row>
    <row r="37" ht="30" customHeight="1">
      <c r="A37" s="89"/>
      <c r="B37" t="s" s="90">
        <v>160</v>
      </c>
      <c r="C37" t="s" s="91">
        <v>161</v>
      </c>
      <c r="D37" t="s" s="91">
        <v>35</v>
      </c>
      <c r="E37" t="s" s="91">
        <v>37</v>
      </c>
      <c r="F37" t="s" s="91">
        <v>20</v>
      </c>
      <c r="G37" t="s" s="91">
        <v>22</v>
      </c>
      <c r="H37" t="s" s="91">
        <v>133</v>
      </c>
      <c r="I37" t="s" s="91">
        <v>258</v>
      </c>
      <c r="J37" t="s" s="91">
        <v>163</v>
      </c>
      <c r="K37" t="s" s="92">
        <f>CONCATENATE(D37,".",E37,".",F37,".",G37,".",H37,".",I37,".",J37)</f>
        <v>259</v>
      </c>
      <c r="L37" t="s" s="93">
        <v>260</v>
      </c>
      <c r="M37" t="s" s="94">
        <v>166</v>
      </c>
      <c r="N37" s="95"/>
      <c r="O37" s="96"/>
      <c r="P37" s="97"/>
      <c r="Q37" s="97"/>
      <c r="R37" s="97"/>
      <c r="S37" s="99"/>
    </row>
    <row r="38" ht="30" customHeight="1">
      <c r="A38" s="89"/>
      <c r="B38" t="s" s="90">
        <v>160</v>
      </c>
      <c r="C38" t="s" s="91">
        <v>161</v>
      </c>
      <c r="D38" t="s" s="91">
        <v>35</v>
      </c>
      <c r="E38" t="s" s="91">
        <v>37</v>
      </c>
      <c r="F38" t="s" s="91">
        <v>20</v>
      </c>
      <c r="G38" t="s" s="91">
        <v>22</v>
      </c>
      <c r="H38" t="s" s="91">
        <v>33</v>
      </c>
      <c r="I38" t="s" s="91">
        <v>261</v>
      </c>
      <c r="J38" t="s" s="91">
        <v>163</v>
      </c>
      <c r="K38" t="s" s="92">
        <f>CONCATENATE(D38,".",E38,".",F38,".",G38,".",H38,".",I38,".",J38)</f>
        <v>262</v>
      </c>
      <c r="L38" t="s" s="93">
        <v>263</v>
      </c>
      <c r="M38" t="s" s="94">
        <v>166</v>
      </c>
      <c r="N38" s="95"/>
      <c r="O38" s="96"/>
      <c r="P38" s="97"/>
      <c r="Q38" s="97"/>
      <c r="R38" s="97"/>
      <c r="S38" s="99"/>
    </row>
    <row r="39" ht="30" customHeight="1">
      <c r="A39" s="89"/>
      <c r="B39" t="s" s="90">
        <v>160</v>
      </c>
      <c r="C39" t="s" s="91">
        <v>161</v>
      </c>
      <c r="D39" t="s" s="91">
        <v>35</v>
      </c>
      <c r="E39" t="s" s="91">
        <v>37</v>
      </c>
      <c r="F39" t="s" s="91">
        <v>20</v>
      </c>
      <c r="G39" t="s" s="91">
        <v>22</v>
      </c>
      <c r="H39" t="s" s="91">
        <v>33</v>
      </c>
      <c r="I39" t="s" s="91">
        <v>264</v>
      </c>
      <c r="J39" t="s" s="91">
        <v>163</v>
      </c>
      <c r="K39" t="s" s="92">
        <f>CONCATENATE(D39,".",E39,".",F39,".",G39,".",H39,".",I39,".",J39)</f>
        <v>265</v>
      </c>
      <c r="L39" t="s" s="93">
        <v>266</v>
      </c>
      <c r="M39" t="s" s="94">
        <v>166</v>
      </c>
      <c r="N39" s="95"/>
      <c r="O39" s="96"/>
      <c r="P39" s="97"/>
      <c r="Q39" s="97"/>
      <c r="R39" s="97"/>
      <c r="S39" s="99"/>
    </row>
    <row r="40" ht="30" customHeight="1">
      <c r="A40" s="89"/>
      <c r="B40" t="s" s="90">
        <v>160</v>
      </c>
      <c r="C40" t="s" s="91">
        <v>161</v>
      </c>
      <c r="D40" t="s" s="91">
        <v>35</v>
      </c>
      <c r="E40" t="s" s="91">
        <v>37</v>
      </c>
      <c r="F40" t="s" s="91">
        <v>20</v>
      </c>
      <c r="G40" t="s" s="91">
        <v>22</v>
      </c>
      <c r="H40" t="s" s="91">
        <v>68</v>
      </c>
      <c r="I40" t="s" s="91">
        <v>267</v>
      </c>
      <c r="J40" t="s" s="91">
        <v>163</v>
      </c>
      <c r="K40" t="s" s="92">
        <f>CONCATENATE(D40,".",E40,".",F40,".",G40,".",H40,".",I40,".",J40)</f>
        <v>268</v>
      </c>
      <c r="L40" t="s" s="93">
        <v>269</v>
      </c>
      <c r="M40" s="94"/>
      <c r="N40" s="95"/>
      <c r="O40" s="96"/>
      <c r="P40" s="97"/>
      <c r="Q40" s="97"/>
      <c r="R40" s="97"/>
      <c r="S40" s="99"/>
    </row>
    <row r="41" ht="30" customHeight="1">
      <c r="A41" s="89"/>
      <c r="B41" t="s" s="90">
        <v>160</v>
      </c>
      <c r="C41" t="s" s="91">
        <v>161</v>
      </c>
      <c r="D41" t="s" s="91">
        <v>35</v>
      </c>
      <c r="E41" t="s" s="91">
        <v>37</v>
      </c>
      <c r="F41" t="s" s="91">
        <v>20</v>
      </c>
      <c r="G41" t="s" s="91">
        <v>22</v>
      </c>
      <c r="H41" t="s" s="91">
        <v>68</v>
      </c>
      <c r="I41" t="s" s="91">
        <v>270</v>
      </c>
      <c r="J41" t="s" s="91">
        <v>163</v>
      </c>
      <c r="K41" t="s" s="92">
        <f>CONCATENATE(D41,".",E41,".",F41,".",G41,".",H41,".",I41,".",J41)</f>
        <v>271</v>
      </c>
      <c r="L41" t="s" s="93">
        <v>272</v>
      </c>
      <c r="M41" s="94"/>
      <c r="N41" s="95"/>
      <c r="O41" s="96"/>
      <c r="P41" s="97"/>
      <c r="Q41" s="97"/>
      <c r="R41" s="97"/>
      <c r="S41" s="99"/>
    </row>
    <row r="42" ht="30" customHeight="1">
      <c r="A42" s="89"/>
      <c r="B42" t="s" s="90">
        <v>160</v>
      </c>
      <c r="C42" t="s" s="91">
        <v>161</v>
      </c>
      <c r="D42" t="s" s="91">
        <v>35</v>
      </c>
      <c r="E42" t="s" s="91">
        <v>37</v>
      </c>
      <c r="F42" t="s" s="91">
        <v>20</v>
      </c>
      <c r="G42" t="s" s="91">
        <v>22</v>
      </c>
      <c r="H42" t="s" s="91">
        <v>75</v>
      </c>
      <c r="I42" t="s" s="91">
        <v>273</v>
      </c>
      <c r="J42" t="s" s="91">
        <v>163</v>
      </c>
      <c r="K42" t="s" s="92">
        <f>CONCATENATE(D42,".",E42,".",F42,".",G42,".",H42,".",I42,".",J42)</f>
        <v>274</v>
      </c>
      <c r="L42" t="s" s="93">
        <v>275</v>
      </c>
      <c r="M42" s="94"/>
      <c r="N42" s="95"/>
      <c r="O42" s="96"/>
      <c r="P42" s="97"/>
      <c r="Q42" s="97"/>
      <c r="R42" s="97"/>
      <c r="S42" s="99"/>
    </row>
    <row r="43" ht="30" customHeight="1">
      <c r="A43" s="100"/>
      <c r="B43" t="s" s="90">
        <v>160</v>
      </c>
      <c r="C43" t="s" s="91">
        <v>161</v>
      </c>
      <c r="D43" t="s" s="91">
        <v>35</v>
      </c>
      <c r="E43" t="s" s="91">
        <v>37</v>
      </c>
      <c r="F43" t="s" s="91">
        <v>20</v>
      </c>
      <c r="G43" t="s" s="91">
        <v>22</v>
      </c>
      <c r="H43" t="s" s="91">
        <v>23</v>
      </c>
      <c r="I43" t="s" s="91">
        <v>276</v>
      </c>
      <c r="J43" t="s" s="91">
        <v>163</v>
      </c>
      <c r="K43" t="s" s="92">
        <f>CONCATENATE(D43,".",E43,".",F43,".",G43,".",H43,".",I43,".",J43)</f>
        <v>277</v>
      </c>
      <c r="L43" t="s" s="93">
        <v>278</v>
      </c>
      <c r="M43" s="94"/>
      <c r="N43" s="95"/>
      <c r="O43" s="121"/>
      <c r="P43" s="122"/>
      <c r="Q43" s="122"/>
      <c r="R43" s="122"/>
      <c r="S43" s="123"/>
    </row>
    <row r="44" ht="30" customHeight="1">
      <c r="A44" t="s" s="111">
        <v>279</v>
      </c>
      <c r="B44" s="112"/>
      <c r="C44" s="112"/>
      <c r="D44" s="112"/>
      <c r="E44" s="112"/>
      <c r="F44" s="112"/>
      <c r="G44" s="112"/>
      <c r="H44" s="112"/>
      <c r="I44" s="112"/>
      <c r="J44" s="112"/>
      <c r="K44" s="112"/>
      <c r="L44" s="112"/>
      <c r="M44" s="113"/>
      <c r="N44" s="114"/>
      <c r="O44" s="115"/>
      <c r="P44" s="116"/>
      <c r="Q44" s="116"/>
      <c r="R44" s="116"/>
      <c r="S44" s="117"/>
    </row>
    <row r="45" ht="30" customHeight="1">
      <c r="A45" s="101"/>
      <c r="B45" t="s" s="90">
        <v>160</v>
      </c>
      <c r="C45" t="s" s="91">
        <v>161</v>
      </c>
      <c r="D45" t="s" s="91">
        <v>35</v>
      </c>
      <c r="E45" t="s" s="91">
        <v>47</v>
      </c>
      <c r="F45" t="s" s="91">
        <v>20</v>
      </c>
      <c r="G45" t="s" s="91">
        <v>22</v>
      </c>
      <c r="H45" t="s" s="91">
        <v>33</v>
      </c>
      <c r="I45" t="s" s="91">
        <v>280</v>
      </c>
      <c r="J45" t="s" s="91">
        <v>163</v>
      </c>
      <c r="K45" t="s" s="92">
        <f>CONCATENATE(D45,".",E45,".",F45,".",G45,".",H45,".",I45,".",J45)</f>
        <v>281</v>
      </c>
      <c r="L45" t="s" s="93">
        <v>282</v>
      </c>
      <c r="M45" t="s" s="94">
        <v>166</v>
      </c>
      <c r="N45" s="95"/>
      <c r="O45" s="126"/>
      <c r="P45" s="127"/>
      <c r="Q45" s="119"/>
      <c r="R45" s="119"/>
      <c r="S45" s="125"/>
    </row>
    <row r="46" ht="30" customHeight="1">
      <c r="A46" s="89"/>
      <c r="B46" t="s" s="90">
        <v>160</v>
      </c>
      <c r="C46" t="s" s="91">
        <v>161</v>
      </c>
      <c r="D46" t="s" s="91">
        <v>35</v>
      </c>
      <c r="E46" t="s" s="91">
        <v>47</v>
      </c>
      <c r="F46" t="s" s="91">
        <v>20</v>
      </c>
      <c r="G46" t="s" s="91">
        <v>22</v>
      </c>
      <c r="H46" t="s" s="91">
        <v>33</v>
      </c>
      <c r="I46" t="s" s="91">
        <v>283</v>
      </c>
      <c r="J46" t="s" s="91">
        <v>163</v>
      </c>
      <c r="K46" t="s" s="92">
        <f>CONCATENATE(D46,".",E46,".",F46,".",G46,".",H46,".",I46,".",J46)</f>
        <v>284</v>
      </c>
      <c r="L46" t="s" s="93">
        <v>285</v>
      </c>
      <c r="M46" t="s" s="94">
        <v>166</v>
      </c>
      <c r="N46" s="95"/>
      <c r="O46" s="96"/>
      <c r="P46" s="97"/>
      <c r="Q46" s="97"/>
      <c r="R46" s="97"/>
      <c r="S46" s="99"/>
    </row>
    <row r="47" ht="30" customHeight="1">
      <c r="A47" s="89"/>
      <c r="B47" t="s" s="90">
        <v>160</v>
      </c>
      <c r="C47" t="s" s="91">
        <v>161</v>
      </c>
      <c r="D47" t="s" s="91">
        <v>35</v>
      </c>
      <c r="E47" t="s" s="91">
        <v>47</v>
      </c>
      <c r="F47" t="s" s="91">
        <v>20</v>
      </c>
      <c r="G47" t="s" s="91">
        <v>22</v>
      </c>
      <c r="H47" t="s" s="91">
        <v>33</v>
      </c>
      <c r="I47" t="s" s="91">
        <v>286</v>
      </c>
      <c r="J47" t="s" s="91">
        <v>163</v>
      </c>
      <c r="K47" t="s" s="92">
        <f>CONCATENATE(D47,".",E47,".",F47,".",G47,".",H47,".",I47,".",J47)</f>
        <v>287</v>
      </c>
      <c r="L47" t="s" s="93">
        <v>288</v>
      </c>
      <c r="M47" t="s" s="94">
        <v>166</v>
      </c>
      <c r="N47" s="95"/>
      <c r="O47" s="96"/>
      <c r="P47" s="97"/>
      <c r="Q47" s="97"/>
      <c r="R47" s="97"/>
      <c r="S47" s="99"/>
    </row>
    <row r="48" ht="30" customHeight="1">
      <c r="A48" s="89"/>
      <c r="B48" t="s" s="90">
        <v>160</v>
      </c>
      <c r="C48" t="s" s="91">
        <v>161</v>
      </c>
      <c r="D48" t="s" s="91">
        <v>35</v>
      </c>
      <c r="E48" t="s" s="91">
        <v>47</v>
      </c>
      <c r="F48" t="s" s="91">
        <v>20</v>
      </c>
      <c r="G48" t="s" s="91">
        <v>22</v>
      </c>
      <c r="H48" t="s" s="91">
        <v>33</v>
      </c>
      <c r="I48" t="s" s="91">
        <v>289</v>
      </c>
      <c r="J48" t="s" s="91">
        <v>163</v>
      </c>
      <c r="K48" t="s" s="92">
        <f>CONCATENATE(D48,".",E48,".",F48,".",G48,".",H48,".",I48,".",J48)</f>
        <v>290</v>
      </c>
      <c r="L48" t="s" s="93">
        <v>291</v>
      </c>
      <c r="M48" t="s" s="94">
        <v>166</v>
      </c>
      <c r="N48" s="95"/>
      <c r="O48" s="96"/>
      <c r="P48" s="97"/>
      <c r="Q48" s="97"/>
      <c r="R48" s="97"/>
      <c r="S48" s="99"/>
    </row>
    <row r="49" ht="30" customHeight="1">
      <c r="A49" s="100"/>
      <c r="B49" t="s" s="90">
        <v>160</v>
      </c>
      <c r="C49" t="s" s="91">
        <v>161</v>
      </c>
      <c r="D49" t="s" s="91">
        <v>35</v>
      </c>
      <c r="E49" t="s" s="91">
        <v>47</v>
      </c>
      <c r="F49" t="s" s="91">
        <v>20</v>
      </c>
      <c r="G49" t="s" s="91">
        <v>22</v>
      </c>
      <c r="H49" t="s" s="91">
        <v>133</v>
      </c>
      <c r="I49" t="s" s="91">
        <v>292</v>
      </c>
      <c r="J49" t="s" s="91">
        <v>163</v>
      </c>
      <c r="K49" t="s" s="92">
        <f>CONCATENATE(D49,".",E49,".",F49,".",G49,".",H49,".",I49,".",J49)</f>
        <v>293</v>
      </c>
      <c r="L49" t="s" s="93">
        <v>294</v>
      </c>
      <c r="M49" t="s" s="94">
        <v>166</v>
      </c>
      <c r="N49" s="95"/>
      <c r="O49" s="121"/>
      <c r="P49" s="122"/>
      <c r="Q49" s="122"/>
      <c r="R49" s="122"/>
      <c r="S49" s="123"/>
    </row>
    <row r="50" ht="30" customHeight="1">
      <c r="A50" t="s" s="111">
        <v>295</v>
      </c>
      <c r="B50" s="112"/>
      <c r="C50" s="112"/>
      <c r="D50" s="112"/>
      <c r="E50" s="112"/>
      <c r="F50" s="112"/>
      <c r="G50" s="112"/>
      <c r="H50" s="112"/>
      <c r="I50" s="112"/>
      <c r="J50" s="112"/>
      <c r="K50" s="112"/>
      <c r="L50" s="112"/>
      <c r="M50" s="113"/>
      <c r="N50" s="128"/>
      <c r="O50" s="129"/>
      <c r="P50" s="130"/>
      <c r="Q50" s="130"/>
      <c r="R50" s="130"/>
      <c r="S50" s="131"/>
    </row>
    <row r="51" ht="30" customHeight="1">
      <c r="A51" s="101"/>
      <c r="B51" t="s" s="90">
        <v>160</v>
      </c>
      <c r="C51" t="s" s="91">
        <v>161</v>
      </c>
      <c r="D51" t="s" s="91">
        <v>35</v>
      </c>
      <c r="E51" t="s" s="91">
        <v>47</v>
      </c>
      <c r="F51" t="s" s="91">
        <v>20</v>
      </c>
      <c r="G51" t="s" s="91">
        <v>22</v>
      </c>
      <c r="H51" t="s" s="91">
        <v>33</v>
      </c>
      <c r="I51" t="s" s="91">
        <v>296</v>
      </c>
      <c r="J51" t="s" s="91">
        <v>163</v>
      </c>
      <c r="K51" t="s" s="92">
        <f>CONCATENATE(D51,".",E51,".",F51,".",G51,".",H51,".",I51,".",J51)</f>
        <v>297</v>
      </c>
      <c r="L51" t="s" s="93">
        <v>298</v>
      </c>
      <c r="M51" t="s" s="94">
        <v>166</v>
      </c>
      <c r="N51" s="95"/>
      <c r="O51" s="118"/>
      <c r="P51" s="119"/>
      <c r="Q51" s="119"/>
      <c r="R51" s="119"/>
      <c r="S51" s="125"/>
    </row>
    <row r="52" ht="30" customHeight="1">
      <c r="A52" s="89"/>
      <c r="B52" t="s" s="90">
        <v>160</v>
      </c>
      <c r="C52" t="s" s="91">
        <v>161</v>
      </c>
      <c r="D52" t="s" s="91">
        <v>35</v>
      </c>
      <c r="E52" t="s" s="91">
        <v>47</v>
      </c>
      <c r="F52" t="s" s="91">
        <v>20</v>
      </c>
      <c r="G52" t="s" s="91">
        <v>22</v>
      </c>
      <c r="H52" t="s" s="91">
        <v>33</v>
      </c>
      <c r="I52" t="s" s="91">
        <v>299</v>
      </c>
      <c r="J52" t="s" s="91">
        <v>163</v>
      </c>
      <c r="K52" t="s" s="92">
        <f>CONCATENATE(D52,".",E52,".",F52,".",G52,".",H52,".",I52,".",J52)</f>
        <v>300</v>
      </c>
      <c r="L52" t="s" s="93">
        <v>301</v>
      </c>
      <c r="M52" t="s" s="94">
        <v>166</v>
      </c>
      <c r="N52" s="95"/>
      <c r="O52" s="96"/>
      <c r="P52" s="97"/>
      <c r="Q52" s="97"/>
      <c r="R52" s="97"/>
      <c r="S52" s="99"/>
    </row>
    <row r="53" ht="30" customHeight="1">
      <c r="A53" s="89"/>
      <c r="B53" t="s" s="90">
        <v>160</v>
      </c>
      <c r="C53" t="s" s="91">
        <v>161</v>
      </c>
      <c r="D53" t="s" s="91">
        <v>35</v>
      </c>
      <c r="E53" t="s" s="91">
        <v>47</v>
      </c>
      <c r="F53" t="s" s="91">
        <v>20</v>
      </c>
      <c r="G53" t="s" s="91">
        <v>22</v>
      </c>
      <c r="H53" t="s" s="91">
        <v>23</v>
      </c>
      <c r="I53" t="s" s="91">
        <v>302</v>
      </c>
      <c r="J53" t="s" s="91">
        <v>163</v>
      </c>
      <c r="K53" t="s" s="92">
        <f>CONCATENATE(D53,".",E53,".",F53,".",G53,".",H53,".",I53,".",J53)</f>
        <v>303</v>
      </c>
      <c r="L53" t="s" s="93">
        <v>304</v>
      </c>
      <c r="M53" t="s" s="94">
        <v>166</v>
      </c>
      <c r="N53" s="95"/>
      <c r="O53" s="96"/>
      <c r="P53" s="97"/>
      <c r="Q53" s="97"/>
      <c r="R53" s="97"/>
      <c r="S53" s="99"/>
    </row>
    <row r="54" ht="30" customHeight="1">
      <c r="A54" s="89"/>
      <c r="B54" t="s" s="90">
        <v>160</v>
      </c>
      <c r="C54" t="s" s="91">
        <v>161</v>
      </c>
      <c r="D54" t="s" s="91">
        <v>35</v>
      </c>
      <c r="E54" t="s" s="91">
        <v>47</v>
      </c>
      <c r="F54" t="s" s="91">
        <v>20</v>
      </c>
      <c r="G54" t="s" s="91">
        <v>22</v>
      </c>
      <c r="H54" t="s" s="91">
        <v>133</v>
      </c>
      <c r="I54" t="s" s="91">
        <v>305</v>
      </c>
      <c r="J54" t="s" s="91">
        <v>163</v>
      </c>
      <c r="K54" t="s" s="92">
        <f>CONCATENATE(D54,".",E54,".",F54,".",G54,".",H54,".",I54,".",J54)</f>
        <v>306</v>
      </c>
      <c r="L54" t="s" s="93">
        <v>307</v>
      </c>
      <c r="M54" t="s" s="94">
        <v>166</v>
      </c>
      <c r="N54" s="95"/>
      <c r="O54" s="96"/>
      <c r="P54" s="97"/>
      <c r="Q54" s="97"/>
      <c r="R54" s="97"/>
      <c r="S54" s="99"/>
    </row>
    <row r="55" ht="30" customHeight="1">
      <c r="A55" s="89"/>
      <c r="B55" t="s" s="90">
        <v>160</v>
      </c>
      <c r="C55" t="s" s="91">
        <v>161</v>
      </c>
      <c r="D55" t="s" s="91">
        <v>35</v>
      </c>
      <c r="E55" t="s" s="91">
        <v>47</v>
      </c>
      <c r="F55" t="s" s="91">
        <v>20</v>
      </c>
      <c r="G55" t="s" s="91">
        <v>22</v>
      </c>
      <c r="H55" t="s" s="91">
        <v>68</v>
      </c>
      <c r="I55" t="s" s="91">
        <v>308</v>
      </c>
      <c r="J55" t="s" s="91">
        <v>163</v>
      </c>
      <c r="K55" t="s" s="92">
        <f>CONCATENATE(D55,".",E55,".",F55,".",G55,".",H55,".",I55,".",J55)</f>
        <v>309</v>
      </c>
      <c r="L55" t="s" s="93">
        <v>310</v>
      </c>
      <c r="M55" s="94"/>
      <c r="N55" s="95"/>
      <c r="O55" s="96"/>
      <c r="P55" s="97"/>
      <c r="Q55" s="97"/>
      <c r="R55" s="97"/>
      <c r="S55" s="99"/>
    </row>
    <row r="56" ht="30" customHeight="1">
      <c r="A56" s="89"/>
      <c r="B56" t="s" s="90">
        <v>160</v>
      </c>
      <c r="C56" t="s" s="91">
        <v>161</v>
      </c>
      <c r="D56" t="s" s="91">
        <v>35</v>
      </c>
      <c r="E56" t="s" s="91">
        <v>47</v>
      </c>
      <c r="F56" t="s" s="91">
        <v>20</v>
      </c>
      <c r="G56" t="s" s="91">
        <v>22</v>
      </c>
      <c r="H56" t="s" s="91">
        <v>68</v>
      </c>
      <c r="I56" t="s" s="91">
        <v>311</v>
      </c>
      <c r="J56" t="s" s="91">
        <v>163</v>
      </c>
      <c r="K56" t="s" s="92">
        <f>CONCATENATE(D56,".",E56,".",F56,".",G56,".",H56,".",I56,".",J56)</f>
        <v>312</v>
      </c>
      <c r="L56" t="s" s="93">
        <v>313</v>
      </c>
      <c r="M56" s="94"/>
      <c r="N56" s="95"/>
      <c r="O56" s="96"/>
      <c r="P56" s="97"/>
      <c r="Q56" s="97"/>
      <c r="R56" s="97"/>
      <c r="S56" s="99"/>
    </row>
    <row r="57" ht="30" customHeight="1">
      <c r="A57" s="89"/>
      <c r="B57" t="s" s="90">
        <v>160</v>
      </c>
      <c r="C57" t="s" s="91">
        <v>161</v>
      </c>
      <c r="D57" t="s" s="91">
        <v>35</v>
      </c>
      <c r="E57" t="s" s="91">
        <v>47</v>
      </c>
      <c r="F57" t="s" s="91">
        <v>20</v>
      </c>
      <c r="G57" t="s" s="91">
        <v>22</v>
      </c>
      <c r="H57" t="s" s="91">
        <v>75</v>
      </c>
      <c r="I57" t="s" s="91">
        <v>314</v>
      </c>
      <c r="J57" t="s" s="91">
        <v>163</v>
      </c>
      <c r="K57" t="s" s="92">
        <f>CONCATENATE(D57,".",E57,".",F57,".",G57,".",H57,".",I57,".",J57)</f>
        <v>315</v>
      </c>
      <c r="L57" t="s" s="93">
        <v>316</v>
      </c>
      <c r="M57" s="94"/>
      <c r="N57" s="95"/>
      <c r="O57" s="96"/>
      <c r="P57" s="97"/>
      <c r="Q57" s="97"/>
      <c r="R57" s="97"/>
      <c r="S57" s="99"/>
    </row>
    <row r="58" ht="30" customHeight="1">
      <c r="A58" s="100"/>
      <c r="B58" t="s" s="90">
        <v>160</v>
      </c>
      <c r="C58" t="s" s="91">
        <v>161</v>
      </c>
      <c r="D58" t="s" s="91">
        <v>35</v>
      </c>
      <c r="E58" t="s" s="91">
        <v>47</v>
      </c>
      <c r="F58" t="s" s="91">
        <v>20</v>
      </c>
      <c r="G58" t="s" s="91">
        <v>22</v>
      </c>
      <c r="H58" t="s" s="91">
        <v>23</v>
      </c>
      <c r="I58" t="s" s="91">
        <v>317</v>
      </c>
      <c r="J58" t="s" s="91">
        <v>163</v>
      </c>
      <c r="K58" t="s" s="92">
        <f>CONCATENATE(D58,".",E58,".",F58,".",G58,".",H58,".",I58,".",J58)</f>
        <v>318</v>
      </c>
      <c r="L58" t="s" s="93">
        <v>319</v>
      </c>
      <c r="M58" s="94"/>
      <c r="N58" s="95"/>
      <c r="O58" s="121"/>
      <c r="P58" s="122"/>
      <c r="Q58" s="122"/>
      <c r="R58" s="122"/>
      <c r="S58" s="123"/>
    </row>
    <row r="59" ht="20.1" customHeight="1" hidden="1">
      <c r="A59" t="s" s="132">
        <v>320</v>
      </c>
      <c r="B59" s="133"/>
      <c r="C59" s="134"/>
      <c r="D59" s="133"/>
      <c r="E59" s="133"/>
      <c r="F59" s="133"/>
      <c r="G59" s="133"/>
      <c r="H59" s="133"/>
      <c r="I59" s="133"/>
      <c r="J59" s="133"/>
      <c r="K59" s="133"/>
      <c r="L59" s="133"/>
      <c r="M59" s="133"/>
      <c r="N59" s="135"/>
      <c r="O59" s="136"/>
      <c r="P59" s="136"/>
      <c r="Q59" s="137"/>
      <c r="R59" s="136"/>
      <c r="S59" s="136"/>
    </row>
    <row r="60" ht="12" customHeight="1" hidden="1">
      <c r="A60" t="s" s="138">
        <v>321</v>
      </c>
      <c r="B60" s="139"/>
      <c r="C60" s="112"/>
      <c r="D60" s="139"/>
      <c r="E60" s="139"/>
      <c r="F60" s="139"/>
      <c r="G60" s="139"/>
      <c r="H60" s="139"/>
      <c r="I60" s="139"/>
      <c r="J60" s="139"/>
      <c r="K60" s="139"/>
      <c r="L60" s="139"/>
      <c r="M60" s="139"/>
      <c r="N60" s="76"/>
      <c r="O60" s="140"/>
      <c r="P60" s="140"/>
      <c r="Q60" s="130"/>
      <c r="R60" s="130"/>
      <c r="S60" s="141"/>
    </row>
    <row r="61" ht="20.1" customHeight="1" hidden="1">
      <c r="A61" s="142">
        <f t="shared" si="51" ref="A61:A121">ROW()-3</f>
        <v>58</v>
      </c>
      <c r="B61" t="s" s="143">
        <v>322</v>
      </c>
      <c r="C61" t="s" s="144">
        <f>'WBS'!$A$2</f>
        <v>323</v>
      </c>
      <c r="D61" t="s" s="145">
        <v>35</v>
      </c>
      <c r="E61" t="s" s="145">
        <v>63</v>
      </c>
      <c r="F61" t="s" s="145">
        <v>29</v>
      </c>
      <c r="G61" t="s" s="146">
        <v>127</v>
      </c>
      <c r="H61" t="s" s="145">
        <v>104</v>
      </c>
      <c r="I61" t="s" s="145">
        <v>167</v>
      </c>
      <c r="J61" t="s" s="145">
        <v>163</v>
      </c>
      <c r="K61" t="s" s="147">
        <f>CONCATENATE(D61,".",E61,".",F61,".",G61,".",H61,".",I61,".",J61)</f>
        <v>324</v>
      </c>
      <c r="L61" t="s" s="148">
        <v>325</v>
      </c>
      <c r="M61" t="s" s="144">
        <v>326</v>
      </c>
      <c r="N61" s="149"/>
      <c r="O61" s="150"/>
      <c r="P61" s="150"/>
      <c r="Q61" s="151"/>
      <c r="R61" s="151"/>
      <c r="S61" s="151"/>
    </row>
    <row r="62" ht="20.1" customHeight="1" hidden="1">
      <c r="A62" s="142">
        <f t="shared" si="51"/>
        <v>59</v>
      </c>
      <c r="B62" t="s" s="143">
        <v>322</v>
      </c>
      <c r="C62" t="s" s="144">
        <f>'WBS'!$A$2</f>
        <v>323</v>
      </c>
      <c r="D62" t="s" s="145">
        <v>35</v>
      </c>
      <c r="E62" t="s" s="145">
        <v>63</v>
      </c>
      <c r="F62" t="s" s="145">
        <v>29</v>
      </c>
      <c r="G62" t="s" s="146">
        <v>31</v>
      </c>
      <c r="H62" t="s" s="145">
        <v>104</v>
      </c>
      <c r="I62" t="s" s="145">
        <v>170</v>
      </c>
      <c r="J62" t="s" s="145">
        <v>163</v>
      </c>
      <c r="K62" t="s" s="147">
        <f>CONCATENATE(D62,".",E62,".",F62,".",G62,".",H62,".",I62,".",J62)</f>
        <v>327</v>
      </c>
      <c r="L62" t="s" s="148">
        <v>328</v>
      </c>
      <c r="M62" t="s" s="144">
        <v>326</v>
      </c>
      <c r="N62" s="149"/>
      <c r="O62" s="150"/>
      <c r="P62" s="150"/>
      <c r="Q62" s="151"/>
      <c r="R62" s="151"/>
      <c r="S62" s="151"/>
    </row>
    <row r="63" ht="20.1" customHeight="1" hidden="1">
      <c r="A63" s="142">
        <f t="shared" si="51"/>
        <v>60</v>
      </c>
      <c r="B63" t="s" s="143">
        <v>322</v>
      </c>
      <c r="C63" t="s" s="144">
        <f>'WBS'!$A$2</f>
        <v>323</v>
      </c>
      <c r="D63" t="s" s="145">
        <v>35</v>
      </c>
      <c r="E63" t="s" s="145">
        <v>63</v>
      </c>
      <c r="F63" t="s" s="145">
        <v>29</v>
      </c>
      <c r="G63" t="s" s="146">
        <v>131</v>
      </c>
      <c r="H63" t="s" s="145">
        <v>104</v>
      </c>
      <c r="I63" t="s" s="145">
        <v>173</v>
      </c>
      <c r="J63" t="s" s="145">
        <v>163</v>
      </c>
      <c r="K63" t="s" s="147">
        <f>CONCATENATE(D63,".",E63,".",F63,".",G63,".",H63,".",I63,".",J63)</f>
        <v>329</v>
      </c>
      <c r="L63" t="s" s="148">
        <v>132</v>
      </c>
      <c r="M63" t="s" s="144">
        <v>326</v>
      </c>
      <c r="N63" s="149"/>
      <c r="O63" s="150"/>
      <c r="P63" s="150"/>
      <c r="Q63" s="151"/>
      <c r="R63" s="151"/>
      <c r="S63" s="151"/>
    </row>
    <row r="64" ht="20.1" customHeight="1" hidden="1">
      <c r="A64" s="142">
        <f t="shared" si="51"/>
        <v>61</v>
      </c>
      <c r="B64" t="s" s="143">
        <v>322</v>
      </c>
      <c r="C64" t="s" s="144">
        <f>'WBS'!$A$2</f>
        <v>323</v>
      </c>
      <c r="D64" t="s" s="145">
        <v>35</v>
      </c>
      <c r="E64" t="s" s="145">
        <v>63</v>
      </c>
      <c r="F64" t="s" s="145">
        <v>29</v>
      </c>
      <c r="G64" t="s" s="146">
        <v>41</v>
      </c>
      <c r="H64" t="s" s="145">
        <v>104</v>
      </c>
      <c r="I64" t="s" s="145">
        <v>176</v>
      </c>
      <c r="J64" t="s" s="145">
        <v>163</v>
      </c>
      <c r="K64" t="s" s="147">
        <f>CONCATENATE(D64,".",E64,".",F64,".",G64,".",H64,".",I64,".",J64)</f>
        <v>330</v>
      </c>
      <c r="L64" t="s" s="148">
        <v>331</v>
      </c>
      <c r="M64" t="s" s="144">
        <v>326</v>
      </c>
      <c r="N64" s="149"/>
      <c r="O64" s="150"/>
      <c r="P64" s="150"/>
      <c r="Q64" s="151"/>
      <c r="R64" s="151"/>
      <c r="S64" s="151"/>
    </row>
    <row r="65" ht="20.1" customHeight="1" hidden="1">
      <c r="A65" s="142">
        <f t="shared" si="51"/>
        <v>62</v>
      </c>
      <c r="B65" t="s" s="143">
        <v>322</v>
      </c>
      <c r="C65" t="s" s="144">
        <f>'WBS'!$A$2</f>
        <v>323</v>
      </c>
      <c r="D65" t="s" s="145">
        <v>35</v>
      </c>
      <c r="E65" t="s" s="145">
        <v>63</v>
      </c>
      <c r="F65" t="s" s="145">
        <v>29</v>
      </c>
      <c r="G65" t="s" s="146">
        <v>51</v>
      </c>
      <c r="H65" t="s" s="145">
        <v>104</v>
      </c>
      <c r="I65" t="s" s="145">
        <v>179</v>
      </c>
      <c r="J65" t="s" s="145">
        <v>163</v>
      </c>
      <c r="K65" t="s" s="147">
        <f>CONCATENATE(D65,".",E65,".",F65,".",G65,".",H65,".",I65,".",J65)</f>
        <v>332</v>
      </c>
      <c r="L65" t="s" s="148">
        <v>333</v>
      </c>
      <c r="M65" t="s" s="144">
        <v>326</v>
      </c>
      <c r="N65" s="149"/>
      <c r="O65" s="150"/>
      <c r="P65" s="150"/>
      <c r="Q65" s="151"/>
      <c r="R65" s="151"/>
      <c r="S65" s="151"/>
    </row>
    <row r="66" ht="20.1" customHeight="1" hidden="1">
      <c r="A66" s="142">
        <f t="shared" si="51"/>
        <v>63</v>
      </c>
      <c r="B66" t="s" s="143">
        <v>322</v>
      </c>
      <c r="C66" t="s" s="144">
        <f>'WBS'!$A$2</f>
        <v>323</v>
      </c>
      <c r="D66" t="s" s="145">
        <v>35</v>
      </c>
      <c r="E66" t="s" s="145">
        <v>63</v>
      </c>
      <c r="F66" t="s" s="145">
        <v>29</v>
      </c>
      <c r="G66" t="s" s="146">
        <v>59</v>
      </c>
      <c r="H66" t="s" s="145">
        <v>104</v>
      </c>
      <c r="I66" t="s" s="145">
        <v>182</v>
      </c>
      <c r="J66" t="s" s="145">
        <v>163</v>
      </c>
      <c r="K66" t="s" s="147">
        <f>CONCATENATE(D66,".",E66,".",F66,".",G66,".",H66,".",I66,".",J66)</f>
        <v>334</v>
      </c>
      <c r="L66" t="s" s="148">
        <v>335</v>
      </c>
      <c r="M66" t="s" s="144">
        <v>326</v>
      </c>
      <c r="N66" s="149"/>
      <c r="O66" s="150"/>
      <c r="P66" s="150"/>
      <c r="Q66" s="151"/>
      <c r="R66" s="151"/>
      <c r="S66" s="151"/>
    </row>
    <row r="67" ht="20.1" customHeight="1" hidden="1">
      <c r="A67" s="142">
        <f t="shared" si="51"/>
        <v>64</v>
      </c>
      <c r="B67" t="s" s="143">
        <v>322</v>
      </c>
      <c r="C67" t="s" s="144">
        <f>'WBS'!$A$2</f>
        <v>323</v>
      </c>
      <c r="D67" t="s" s="145">
        <v>35</v>
      </c>
      <c r="E67" t="s" s="145">
        <v>63</v>
      </c>
      <c r="F67" t="s" s="145">
        <v>29</v>
      </c>
      <c r="G67" t="s" s="146">
        <v>67</v>
      </c>
      <c r="H67" t="s" s="145">
        <v>104</v>
      </c>
      <c r="I67" t="s" s="145">
        <v>185</v>
      </c>
      <c r="J67" t="s" s="145">
        <v>163</v>
      </c>
      <c r="K67" t="s" s="147">
        <f>CONCATENATE(D67,".",E67,".",F67,".",G67,".",H67,".",I67,".",J67)</f>
        <v>336</v>
      </c>
      <c r="L67" t="s" s="148">
        <v>337</v>
      </c>
      <c r="M67" t="s" s="144">
        <v>326</v>
      </c>
      <c r="N67" s="149"/>
      <c r="O67" s="150"/>
      <c r="P67" s="150"/>
      <c r="Q67" s="151"/>
      <c r="R67" s="151"/>
      <c r="S67" s="151"/>
    </row>
    <row r="68" ht="20.1" customHeight="1" hidden="1">
      <c r="A68" s="142">
        <f t="shared" si="51"/>
        <v>65</v>
      </c>
      <c r="B68" t="s" s="143">
        <v>322</v>
      </c>
      <c r="C68" t="s" s="144">
        <f>'WBS'!$A$2</f>
        <v>323</v>
      </c>
      <c r="D68" t="s" s="145">
        <v>35</v>
      </c>
      <c r="E68" t="s" s="145">
        <v>63</v>
      </c>
      <c r="F68" t="s" s="145">
        <v>29</v>
      </c>
      <c r="G68" t="s" s="146">
        <v>74</v>
      </c>
      <c r="H68" t="s" s="145">
        <v>104</v>
      </c>
      <c r="I68" t="s" s="145">
        <v>188</v>
      </c>
      <c r="J68" t="s" s="145">
        <v>163</v>
      </c>
      <c r="K68" t="s" s="147">
        <f>CONCATENATE(D68,".",E68,".",F68,".",G68,".",H68,".",I68,".",J68)</f>
        <v>338</v>
      </c>
      <c r="L68" t="s" s="148">
        <v>339</v>
      </c>
      <c r="M68" t="s" s="144">
        <v>326</v>
      </c>
      <c r="N68" s="149"/>
      <c r="O68" s="150"/>
      <c r="P68" s="150"/>
      <c r="Q68" s="151"/>
      <c r="R68" s="151"/>
      <c r="S68" s="151"/>
    </row>
    <row r="69" ht="20.1" customHeight="1" hidden="1">
      <c r="A69" s="142">
        <f t="shared" si="51"/>
        <v>66</v>
      </c>
      <c r="B69" t="s" s="143">
        <v>322</v>
      </c>
      <c r="C69" t="s" s="144">
        <f>'WBS'!$A$2</f>
        <v>323</v>
      </c>
      <c r="D69" t="s" s="145">
        <v>35</v>
      </c>
      <c r="E69" t="s" s="145">
        <v>63</v>
      </c>
      <c r="F69" t="s" s="145">
        <v>29</v>
      </c>
      <c r="G69" t="s" s="146">
        <v>79</v>
      </c>
      <c r="H69" t="s" s="145">
        <v>104</v>
      </c>
      <c r="I69" t="s" s="145">
        <v>191</v>
      </c>
      <c r="J69" t="s" s="145">
        <v>163</v>
      </c>
      <c r="K69" t="s" s="147">
        <f>CONCATENATE(D69,".",E69,".",F69,".",G69,".",H69,".",I69,".",J69)</f>
        <v>340</v>
      </c>
      <c r="L69" t="s" s="148">
        <v>341</v>
      </c>
      <c r="M69" t="s" s="144">
        <v>326</v>
      </c>
      <c r="N69" s="149"/>
      <c r="O69" s="150"/>
      <c r="P69" s="150"/>
      <c r="Q69" s="151"/>
      <c r="R69" s="151"/>
      <c r="S69" s="151"/>
    </row>
    <row r="70" ht="20.1" customHeight="1" hidden="1">
      <c r="A70" s="142">
        <f t="shared" si="51"/>
        <v>67</v>
      </c>
      <c r="B70" t="s" s="143">
        <v>322</v>
      </c>
      <c r="C70" t="s" s="144">
        <f>'WBS'!$A$2</f>
        <v>323</v>
      </c>
      <c r="D70" t="s" s="145">
        <v>35</v>
      </c>
      <c r="E70" t="s" s="145">
        <v>63</v>
      </c>
      <c r="F70" t="s" s="145">
        <v>29</v>
      </c>
      <c r="G70" t="s" s="146">
        <v>84</v>
      </c>
      <c r="H70" t="s" s="145">
        <v>104</v>
      </c>
      <c r="I70" t="s" s="145">
        <v>194</v>
      </c>
      <c r="J70" t="s" s="145">
        <v>163</v>
      </c>
      <c r="K70" t="s" s="147">
        <f>CONCATENATE(D70,".",E70,".",F70,".",G70,".",H70,".",I70,".",J70)</f>
        <v>342</v>
      </c>
      <c r="L70" t="s" s="148">
        <v>343</v>
      </c>
      <c r="M70" t="s" s="144">
        <v>326</v>
      </c>
      <c r="N70" s="149"/>
      <c r="O70" s="150"/>
      <c r="P70" s="150"/>
      <c r="Q70" s="151"/>
      <c r="R70" s="151"/>
      <c r="S70" s="151"/>
    </row>
    <row r="71" ht="20.1" customHeight="1" hidden="1">
      <c r="A71" s="142">
        <f t="shared" si="51"/>
        <v>68</v>
      </c>
      <c r="B71" t="s" s="143">
        <v>322</v>
      </c>
      <c r="C71" t="s" s="144">
        <f>'WBS'!$A$2</f>
        <v>323</v>
      </c>
      <c r="D71" t="s" s="145">
        <v>35</v>
      </c>
      <c r="E71" t="s" s="145">
        <v>63</v>
      </c>
      <c r="F71" t="s" s="145">
        <v>29</v>
      </c>
      <c r="G71" t="s" s="146">
        <v>89</v>
      </c>
      <c r="H71" t="s" s="145">
        <v>104</v>
      </c>
      <c r="I71" t="s" s="145">
        <v>197</v>
      </c>
      <c r="J71" t="s" s="145">
        <v>163</v>
      </c>
      <c r="K71" t="s" s="147">
        <f>CONCATENATE(D71,".",E71,".",F71,".",G71,".",H71,".",I71,".",J71)</f>
        <v>344</v>
      </c>
      <c r="L71" t="s" s="148">
        <v>345</v>
      </c>
      <c r="M71" t="s" s="144">
        <v>326</v>
      </c>
      <c r="N71" s="149"/>
      <c r="O71" s="150"/>
      <c r="P71" s="150"/>
      <c r="Q71" s="151"/>
      <c r="R71" s="151"/>
      <c r="S71" s="151"/>
    </row>
    <row r="72" ht="20.1" customHeight="1" hidden="1">
      <c r="A72" s="142">
        <f t="shared" si="51"/>
        <v>69</v>
      </c>
      <c r="B72" t="s" s="143">
        <v>322</v>
      </c>
      <c r="C72" t="s" s="144">
        <f>'WBS'!$A$2</f>
        <v>323</v>
      </c>
      <c r="D72" t="s" s="145">
        <v>35</v>
      </c>
      <c r="E72" t="s" s="145">
        <v>63</v>
      </c>
      <c r="F72" t="s" s="145">
        <v>29</v>
      </c>
      <c r="G72" t="s" s="146">
        <v>94</v>
      </c>
      <c r="H72" t="s" s="145">
        <v>104</v>
      </c>
      <c r="I72" t="s" s="145">
        <v>199</v>
      </c>
      <c r="J72" t="s" s="145">
        <v>163</v>
      </c>
      <c r="K72" t="s" s="147">
        <f>CONCATENATE(D72,".",E72,".",F72,".",G72,".",H72,".",I72,".",J72)</f>
        <v>346</v>
      </c>
      <c r="L72" t="s" s="148">
        <v>347</v>
      </c>
      <c r="M72" t="s" s="144">
        <v>326</v>
      </c>
      <c r="N72" s="149"/>
      <c r="O72" s="150"/>
      <c r="P72" s="150"/>
      <c r="Q72" s="151"/>
      <c r="R72" s="151"/>
      <c r="S72" s="151"/>
    </row>
    <row r="73" ht="20.1" customHeight="1" hidden="1">
      <c r="A73" s="142">
        <f t="shared" si="51"/>
        <v>70</v>
      </c>
      <c r="B73" t="s" s="143">
        <v>322</v>
      </c>
      <c r="C73" t="s" s="144">
        <f>'WBS'!$A$2</f>
        <v>323</v>
      </c>
      <c r="D73" t="s" s="145">
        <v>35</v>
      </c>
      <c r="E73" t="s" s="145">
        <v>63</v>
      </c>
      <c r="F73" t="s" s="145">
        <v>29</v>
      </c>
      <c r="G73" t="s" s="146">
        <v>97</v>
      </c>
      <c r="H73" t="s" s="145">
        <v>104</v>
      </c>
      <c r="I73" t="s" s="145">
        <v>202</v>
      </c>
      <c r="J73" t="s" s="145">
        <v>163</v>
      </c>
      <c r="K73" t="s" s="147">
        <f>CONCATENATE(D73,".",E73,".",F73,".",G73,".",H73,".",I73,".",J73)</f>
        <v>348</v>
      </c>
      <c r="L73" t="s" s="148">
        <v>349</v>
      </c>
      <c r="M73" t="s" s="144">
        <v>326</v>
      </c>
      <c r="N73" s="149"/>
      <c r="O73" s="150"/>
      <c r="P73" s="150"/>
      <c r="Q73" s="151"/>
      <c r="R73" s="151"/>
      <c r="S73" s="151"/>
    </row>
    <row r="74" ht="20.1" customHeight="1" hidden="1">
      <c r="A74" s="142">
        <f t="shared" si="51"/>
        <v>71</v>
      </c>
      <c r="B74" t="s" s="143">
        <v>322</v>
      </c>
      <c r="C74" t="s" s="144">
        <f>'WBS'!$A$2</f>
        <v>323</v>
      </c>
      <c r="D74" t="s" s="145">
        <v>35</v>
      </c>
      <c r="E74" t="s" s="145">
        <v>63</v>
      </c>
      <c r="F74" t="s" s="145">
        <v>29</v>
      </c>
      <c r="G74" t="s" s="146">
        <v>100</v>
      </c>
      <c r="H74" t="s" s="145">
        <v>104</v>
      </c>
      <c r="I74" t="s" s="145">
        <v>205</v>
      </c>
      <c r="J74" t="s" s="145">
        <v>163</v>
      </c>
      <c r="K74" t="s" s="147">
        <f>CONCATENATE(D74,".",E74,".",F74,".",G74,".",H74,".",I74,".",J74)</f>
        <v>350</v>
      </c>
      <c r="L74" t="s" s="148">
        <v>351</v>
      </c>
      <c r="M74" t="s" s="144">
        <v>326</v>
      </c>
      <c r="N74" s="149"/>
      <c r="O74" s="150"/>
      <c r="P74" s="150"/>
      <c r="Q74" s="151"/>
      <c r="R74" s="151"/>
      <c r="S74" s="151"/>
    </row>
    <row r="75" ht="20.1" customHeight="1" hidden="1">
      <c r="A75" s="142">
        <f t="shared" si="51"/>
        <v>72</v>
      </c>
      <c r="B75" t="s" s="143">
        <v>322</v>
      </c>
      <c r="C75" t="s" s="144">
        <f>'WBS'!$A$2</f>
        <v>323</v>
      </c>
      <c r="D75" t="s" s="145">
        <v>35</v>
      </c>
      <c r="E75" t="s" s="145">
        <v>63</v>
      </c>
      <c r="F75" t="s" s="145">
        <v>29</v>
      </c>
      <c r="G75" t="s" s="146">
        <v>103</v>
      </c>
      <c r="H75" t="s" s="145">
        <v>104</v>
      </c>
      <c r="I75" t="s" s="145">
        <v>208</v>
      </c>
      <c r="J75" t="s" s="145">
        <v>163</v>
      </c>
      <c r="K75" t="s" s="147">
        <f>CONCATENATE(D75,".",E75,".",F75,".",G75,".",H75,".",I75,".",J75)</f>
        <v>352</v>
      </c>
      <c r="L75" t="s" s="148">
        <v>353</v>
      </c>
      <c r="M75" t="s" s="144">
        <v>326</v>
      </c>
      <c r="N75" s="149"/>
      <c r="O75" s="150"/>
      <c r="P75" s="150"/>
      <c r="Q75" s="151"/>
      <c r="R75" s="151"/>
      <c r="S75" s="151"/>
    </row>
    <row r="76" ht="20.1" customHeight="1" hidden="1">
      <c r="A76" s="142">
        <f t="shared" si="51"/>
        <v>73</v>
      </c>
      <c r="B76" t="s" s="143">
        <v>322</v>
      </c>
      <c r="C76" t="s" s="144">
        <f>'WBS'!$A$2</f>
        <v>323</v>
      </c>
      <c r="D76" t="s" s="145">
        <v>35</v>
      </c>
      <c r="E76" t="s" s="145">
        <v>63</v>
      </c>
      <c r="F76" t="s" s="145">
        <v>29</v>
      </c>
      <c r="G76" t="s" s="146">
        <v>106</v>
      </c>
      <c r="H76" t="s" s="145">
        <v>104</v>
      </c>
      <c r="I76" t="s" s="145">
        <v>211</v>
      </c>
      <c r="J76" t="s" s="145">
        <v>163</v>
      </c>
      <c r="K76" t="s" s="147">
        <f>CONCATENATE(D76,".",E76,".",F76,".",G76,".",H76,".",I76,".",J76)</f>
        <v>354</v>
      </c>
      <c r="L76" t="s" s="148">
        <v>355</v>
      </c>
      <c r="M76" t="s" s="144">
        <v>326</v>
      </c>
      <c r="N76" s="149"/>
      <c r="O76" s="150"/>
      <c r="P76" s="150"/>
      <c r="Q76" s="151"/>
      <c r="R76" s="151"/>
      <c r="S76" s="151"/>
    </row>
    <row r="77" ht="20.1" customHeight="1" hidden="1">
      <c r="A77" s="142">
        <f t="shared" si="51"/>
        <v>74</v>
      </c>
      <c r="B77" t="s" s="143">
        <v>322</v>
      </c>
      <c r="C77" t="s" s="144">
        <f>'WBS'!$A$2</f>
        <v>323</v>
      </c>
      <c r="D77" t="s" s="145">
        <v>35</v>
      </c>
      <c r="E77" t="s" s="145">
        <v>63</v>
      </c>
      <c r="F77" t="s" s="145">
        <v>29</v>
      </c>
      <c r="G77" t="s" s="146">
        <v>109</v>
      </c>
      <c r="H77" t="s" s="145">
        <v>104</v>
      </c>
      <c r="I77" t="s" s="145">
        <v>214</v>
      </c>
      <c r="J77" t="s" s="145">
        <v>163</v>
      </c>
      <c r="K77" t="s" s="147">
        <f>CONCATENATE(D77,".",E77,".",F77,".",G77,".",H77,".",I77,".",J77)</f>
        <v>356</v>
      </c>
      <c r="L77" t="s" s="148">
        <v>357</v>
      </c>
      <c r="M77" t="s" s="144">
        <v>326</v>
      </c>
      <c r="N77" s="149"/>
      <c r="O77" s="150"/>
      <c r="P77" s="150"/>
      <c r="Q77" s="151"/>
      <c r="R77" s="151"/>
      <c r="S77" s="151"/>
    </row>
    <row r="78" ht="20.1" customHeight="1" hidden="1">
      <c r="A78" s="142">
        <f t="shared" si="51"/>
        <v>75</v>
      </c>
      <c r="B78" t="s" s="143">
        <v>322</v>
      </c>
      <c r="C78" t="s" s="144">
        <f>'WBS'!$A$2</f>
        <v>323</v>
      </c>
      <c r="D78" t="s" s="145">
        <v>35</v>
      </c>
      <c r="E78" t="s" s="145">
        <v>63</v>
      </c>
      <c r="F78" t="s" s="145">
        <v>29</v>
      </c>
      <c r="G78" t="s" s="146">
        <v>112</v>
      </c>
      <c r="H78" t="s" s="145">
        <v>104</v>
      </c>
      <c r="I78" t="s" s="145">
        <v>358</v>
      </c>
      <c r="J78" t="s" s="145">
        <v>163</v>
      </c>
      <c r="K78" t="s" s="147">
        <f>CONCATENATE(D78,".",E78,".",F78,".",G78,".",H78,".",I78,".",J78)</f>
        <v>359</v>
      </c>
      <c r="L78" t="s" s="148">
        <v>360</v>
      </c>
      <c r="M78" t="s" s="144">
        <v>326</v>
      </c>
      <c r="N78" s="149"/>
      <c r="O78" s="150"/>
      <c r="P78" s="150"/>
      <c r="Q78" s="151"/>
      <c r="R78" s="151"/>
      <c r="S78" s="151"/>
    </row>
    <row r="79" ht="20.1" customHeight="1" hidden="1">
      <c r="A79" s="142">
        <f t="shared" si="51"/>
        <v>76</v>
      </c>
      <c r="B79" t="s" s="143">
        <v>322</v>
      </c>
      <c r="C79" t="s" s="144">
        <f>'WBS'!$A$2</f>
        <v>323</v>
      </c>
      <c r="D79" t="s" s="145">
        <v>35</v>
      </c>
      <c r="E79" t="s" s="145">
        <v>63</v>
      </c>
      <c r="F79" t="s" s="145">
        <v>29</v>
      </c>
      <c r="G79" t="s" s="146">
        <v>115</v>
      </c>
      <c r="H79" t="s" s="145">
        <v>104</v>
      </c>
      <c r="I79" t="s" s="145">
        <v>361</v>
      </c>
      <c r="J79" t="s" s="145">
        <v>163</v>
      </c>
      <c r="K79" t="s" s="147">
        <f>CONCATENATE(D79,".",E79,".",F79,".",G79,".",H79,".",I79,".",J79)</f>
        <v>362</v>
      </c>
      <c r="L79" t="s" s="148">
        <v>363</v>
      </c>
      <c r="M79" t="s" s="144">
        <v>326</v>
      </c>
      <c r="N79" s="149"/>
      <c r="O79" s="150"/>
      <c r="P79" s="150"/>
      <c r="Q79" s="151"/>
      <c r="R79" s="151"/>
      <c r="S79" s="151"/>
    </row>
    <row r="80" ht="20.1" customHeight="1" hidden="1">
      <c r="A80" s="152">
        <f t="shared" si="51"/>
        <v>77</v>
      </c>
      <c r="B80" t="s" s="143">
        <v>322</v>
      </c>
      <c r="C80" t="s" s="143">
        <f>'WBS'!$A$2</f>
        <v>364</v>
      </c>
      <c r="D80" t="s" s="145">
        <v>35</v>
      </c>
      <c r="E80" t="s" s="143">
        <v>63</v>
      </c>
      <c r="F80" t="s" s="143">
        <v>29</v>
      </c>
      <c r="G80" t="s" s="143">
        <v>118</v>
      </c>
      <c r="H80" t="s" s="143">
        <v>104</v>
      </c>
      <c r="I80" t="s" s="143">
        <v>365</v>
      </c>
      <c r="J80" t="s" s="143">
        <v>163</v>
      </c>
      <c r="K80" t="s" s="147">
        <f>CONCATENATE(D80,".",E80,".",F80,".",G80,".",H80,".",I80,".",J80)</f>
        <v>366</v>
      </c>
      <c r="L80" t="s" s="148">
        <v>367</v>
      </c>
      <c r="M80" t="s" s="144">
        <v>326</v>
      </c>
      <c r="N80" s="149"/>
      <c r="O80" s="150"/>
      <c r="P80" s="150"/>
      <c r="Q80" s="151"/>
      <c r="R80" s="151"/>
      <c r="S80" s="151"/>
    </row>
    <row r="81" ht="20.1" customHeight="1" hidden="1">
      <c r="A81" s="152">
        <f t="shared" si="51"/>
        <v>78</v>
      </c>
      <c r="B81" t="s" s="143">
        <v>322</v>
      </c>
      <c r="C81" t="s" s="143">
        <f>'WBS'!$A$2</f>
        <v>364</v>
      </c>
      <c r="D81" t="s" s="145">
        <v>35</v>
      </c>
      <c r="E81" t="s" s="143">
        <v>63</v>
      </c>
      <c r="F81" t="s" s="143">
        <v>29</v>
      </c>
      <c r="G81" t="s" s="143">
        <v>134</v>
      </c>
      <c r="H81" t="s" s="143">
        <v>104</v>
      </c>
      <c r="I81" t="s" s="143">
        <v>368</v>
      </c>
      <c r="J81" t="s" s="143">
        <v>163</v>
      </c>
      <c r="K81" t="s" s="147">
        <f>CONCATENATE(D81,".",E81,".",F81,".",G81,".",H81,".",I81,".",J81)</f>
        <v>369</v>
      </c>
      <c r="L81" t="s" s="148">
        <v>370</v>
      </c>
      <c r="M81" t="s" s="144">
        <v>326</v>
      </c>
      <c r="N81" s="149"/>
      <c r="O81" s="150"/>
      <c r="P81" s="150"/>
      <c r="Q81" s="151"/>
      <c r="R81" s="151"/>
      <c r="S81" s="151"/>
    </row>
    <row r="82" ht="20.1" customHeight="1" hidden="1">
      <c r="A82" s="152">
        <f t="shared" si="51"/>
        <v>79</v>
      </c>
      <c r="B82" t="s" s="143">
        <v>322</v>
      </c>
      <c r="C82" t="s" s="143">
        <f>'WBS'!$A$2</f>
        <v>364</v>
      </c>
      <c r="D82" t="s" s="145">
        <v>35</v>
      </c>
      <c r="E82" t="s" s="143">
        <v>63</v>
      </c>
      <c r="F82" t="s" s="143">
        <v>29</v>
      </c>
      <c r="G82" t="s" s="143">
        <v>22</v>
      </c>
      <c r="H82" t="s" s="143">
        <v>110</v>
      </c>
      <c r="I82" t="s" s="143">
        <v>371</v>
      </c>
      <c r="J82" t="s" s="143">
        <v>163</v>
      </c>
      <c r="K82" t="s" s="147">
        <f>CONCATENATE(D82,".",E82,".",F82,".",G82,".",H82,".",I82,".",J82)</f>
        <v>372</v>
      </c>
      <c r="L82" t="s" s="148">
        <v>373</v>
      </c>
      <c r="M82" t="s" s="144">
        <v>326</v>
      </c>
      <c r="N82" s="153"/>
      <c r="O82" s="154"/>
      <c r="P82" s="154"/>
      <c r="Q82" s="155"/>
      <c r="R82" s="155"/>
      <c r="S82" s="155"/>
    </row>
    <row r="83" ht="20.1" customHeight="1" hidden="1">
      <c r="A83" s="152">
        <f t="shared" si="51"/>
        <v>80</v>
      </c>
      <c r="B83" t="s" s="143">
        <v>322</v>
      </c>
      <c r="C83" t="s" s="143">
        <f>'WBS'!$A$2</f>
        <v>364</v>
      </c>
      <c r="D83" t="s" s="145">
        <v>35</v>
      </c>
      <c r="E83" t="s" s="143">
        <v>63</v>
      </c>
      <c r="F83" t="s" s="143">
        <v>29</v>
      </c>
      <c r="G83" t="s" s="143">
        <v>22</v>
      </c>
      <c r="H83" t="s" s="143">
        <v>110</v>
      </c>
      <c r="I83" t="s" s="143">
        <v>374</v>
      </c>
      <c r="J83" t="s" s="143">
        <v>163</v>
      </c>
      <c r="K83" t="s" s="147">
        <f>CONCATENATE(D83,".",E83,".",F83,".",G83,".",H83,".",I83,".",J83)</f>
        <v>375</v>
      </c>
      <c r="L83" t="s" s="148">
        <v>376</v>
      </c>
      <c r="M83" t="s" s="144">
        <v>326</v>
      </c>
      <c r="N83" s="153"/>
      <c r="O83" s="154"/>
      <c r="P83" s="154"/>
      <c r="Q83" s="155"/>
      <c r="R83" s="155"/>
      <c r="S83" s="155"/>
    </row>
    <row r="84" ht="20.1" customHeight="1" hidden="1">
      <c r="A84" s="152">
        <f t="shared" si="51"/>
        <v>81</v>
      </c>
      <c r="B84" t="s" s="143">
        <v>322</v>
      </c>
      <c r="C84" t="s" s="143">
        <f>'WBS'!$A$2</f>
        <v>364</v>
      </c>
      <c r="D84" t="s" s="145">
        <v>35</v>
      </c>
      <c r="E84" t="s" s="143">
        <v>63</v>
      </c>
      <c r="F84" t="s" s="143">
        <v>29</v>
      </c>
      <c r="G84" t="s" s="143">
        <v>22</v>
      </c>
      <c r="H84" t="s" s="143">
        <v>110</v>
      </c>
      <c r="I84" t="s" s="143">
        <v>377</v>
      </c>
      <c r="J84" t="s" s="143">
        <v>163</v>
      </c>
      <c r="K84" t="s" s="147">
        <f>CONCATENATE(D84,".",E84,".",F84,".",G84,".",H84,".",I84,".",J84)</f>
        <v>378</v>
      </c>
      <c r="L84" t="s" s="148">
        <v>379</v>
      </c>
      <c r="M84" t="s" s="144">
        <v>326</v>
      </c>
      <c r="N84" s="153"/>
      <c r="O84" s="154"/>
      <c r="P84" s="154"/>
      <c r="Q84" s="155"/>
      <c r="R84" s="155"/>
      <c r="S84" s="155"/>
    </row>
    <row r="85" ht="20.1" customHeight="1" hidden="1">
      <c r="A85" s="152">
        <f t="shared" si="51"/>
        <v>82</v>
      </c>
      <c r="B85" t="s" s="143">
        <v>322</v>
      </c>
      <c r="C85" t="s" s="143">
        <f>'WBS'!$A$2</f>
        <v>364</v>
      </c>
      <c r="D85" t="s" s="145">
        <v>35</v>
      </c>
      <c r="E85" t="s" s="143">
        <v>63</v>
      </c>
      <c r="F85" t="s" s="143">
        <v>29</v>
      </c>
      <c r="G85" t="s" s="143">
        <v>22</v>
      </c>
      <c r="H85" t="s" s="143">
        <v>107</v>
      </c>
      <c r="I85" t="s" s="143">
        <v>380</v>
      </c>
      <c r="J85" t="s" s="143">
        <v>163</v>
      </c>
      <c r="K85" t="s" s="147">
        <f>CONCATENATE(D85,".",E85,".",F85,".",G85,".",H85,".",I85,".",J85)</f>
        <v>381</v>
      </c>
      <c r="L85" t="s" s="148">
        <v>382</v>
      </c>
      <c r="M85" t="s" s="144">
        <v>326</v>
      </c>
      <c r="N85" s="153"/>
      <c r="O85" s="154"/>
      <c r="P85" s="154"/>
      <c r="Q85" s="155"/>
      <c r="R85" s="155"/>
      <c r="S85" s="155"/>
    </row>
    <row r="86" ht="20.1" customHeight="1" hidden="1">
      <c r="A86" s="152">
        <f t="shared" si="51"/>
        <v>83</v>
      </c>
      <c r="B86" t="s" s="143">
        <v>322</v>
      </c>
      <c r="C86" t="s" s="143">
        <f>'WBS'!$A$2</f>
        <v>364</v>
      </c>
      <c r="D86" t="s" s="145">
        <v>35</v>
      </c>
      <c r="E86" t="s" s="143">
        <v>63</v>
      </c>
      <c r="F86" t="s" s="143">
        <v>29</v>
      </c>
      <c r="G86" t="s" s="143">
        <v>22</v>
      </c>
      <c r="H86" t="s" s="143">
        <v>107</v>
      </c>
      <c r="I86" t="s" s="143">
        <v>383</v>
      </c>
      <c r="J86" t="s" s="143">
        <v>163</v>
      </c>
      <c r="K86" t="s" s="147">
        <f>CONCATENATE(D86,".",E86,".",F86,".",G86,".",H86,".",I86,".",J86)</f>
        <v>384</v>
      </c>
      <c r="L86" t="s" s="148">
        <v>385</v>
      </c>
      <c r="M86" t="s" s="144">
        <v>326</v>
      </c>
      <c r="N86" s="153"/>
      <c r="O86" s="154"/>
      <c r="P86" s="154"/>
      <c r="Q86" s="155"/>
      <c r="R86" s="155"/>
      <c r="S86" s="155"/>
    </row>
    <row r="87" ht="20.1" customHeight="1" hidden="1">
      <c r="A87" s="152">
        <f t="shared" si="51"/>
        <v>84</v>
      </c>
      <c r="B87" t="s" s="143">
        <v>322</v>
      </c>
      <c r="C87" t="s" s="143">
        <f>'WBS'!$A$2</f>
        <v>364</v>
      </c>
      <c r="D87" t="s" s="145">
        <v>35</v>
      </c>
      <c r="E87" t="s" s="143">
        <v>63</v>
      </c>
      <c r="F87" t="s" s="143">
        <v>29</v>
      </c>
      <c r="G87" t="s" s="143">
        <v>22</v>
      </c>
      <c r="H87" t="s" s="143">
        <v>107</v>
      </c>
      <c r="I87" t="s" s="143">
        <v>386</v>
      </c>
      <c r="J87" t="s" s="143">
        <v>163</v>
      </c>
      <c r="K87" t="s" s="147">
        <f>CONCATENATE(D87,".",E87,".",F87,".",G87,".",H87,".",I87,".",J87)</f>
        <v>387</v>
      </c>
      <c r="L87" t="s" s="148">
        <v>388</v>
      </c>
      <c r="M87" t="s" s="144">
        <v>326</v>
      </c>
      <c r="N87" s="153"/>
      <c r="O87" s="154"/>
      <c r="P87" s="154"/>
      <c r="Q87" s="155"/>
      <c r="R87" s="155"/>
      <c r="S87" s="155"/>
    </row>
    <row r="88" ht="12" customHeight="1" hidden="1">
      <c r="A88" t="s" s="138">
        <v>389</v>
      </c>
      <c r="B88" s="139"/>
      <c r="C88" s="112"/>
      <c r="D88" s="139"/>
      <c r="E88" s="139"/>
      <c r="F88" s="139"/>
      <c r="G88" s="139"/>
      <c r="H88" s="139"/>
      <c r="I88" s="139"/>
      <c r="J88" s="139"/>
      <c r="K88" s="139"/>
      <c r="L88" s="139"/>
      <c r="M88" s="139"/>
      <c r="N88" s="76"/>
      <c r="O88" s="140"/>
      <c r="P88" s="140"/>
      <c r="Q88" s="130"/>
      <c r="R88" s="130"/>
      <c r="S88" s="141"/>
    </row>
    <row r="89" ht="20.1" customHeight="1" hidden="1">
      <c r="A89" s="142">
        <f t="shared" si="51"/>
        <v>86</v>
      </c>
      <c r="B89" t="s" s="143">
        <v>390</v>
      </c>
      <c r="C89" t="s" s="144">
        <f>'WBS'!$A$2</f>
        <v>323</v>
      </c>
      <c r="D89" t="s" s="145">
        <v>35</v>
      </c>
      <c r="E89" t="s" s="145">
        <v>63</v>
      </c>
      <c r="F89" t="s" s="145">
        <v>87</v>
      </c>
      <c r="G89" t="s" s="146">
        <v>127</v>
      </c>
      <c r="H89" t="s" s="145">
        <v>104</v>
      </c>
      <c r="I89" t="s" s="145">
        <v>167</v>
      </c>
      <c r="J89" t="s" s="145">
        <v>163</v>
      </c>
      <c r="K89" t="s" s="147">
        <f>CONCATENATE(D89,".",E89,".",F89,".",G89,".",H89,".",I89,".",J89)</f>
        <v>391</v>
      </c>
      <c r="L89" t="s" s="148">
        <v>325</v>
      </c>
      <c r="M89" t="s" s="144">
        <v>326</v>
      </c>
      <c r="N89" s="149"/>
      <c r="O89" s="150"/>
      <c r="P89" s="150"/>
      <c r="Q89" s="151"/>
      <c r="R89" s="151"/>
      <c r="S89" s="151"/>
    </row>
    <row r="90" ht="20.1" customHeight="1" hidden="1">
      <c r="A90" s="142">
        <f t="shared" si="51"/>
        <v>87</v>
      </c>
      <c r="B90" t="s" s="143">
        <v>390</v>
      </c>
      <c r="C90" t="s" s="144">
        <f>'WBS'!$A$2</f>
        <v>323</v>
      </c>
      <c r="D90" t="s" s="145">
        <v>35</v>
      </c>
      <c r="E90" t="s" s="145">
        <v>63</v>
      </c>
      <c r="F90" t="s" s="145">
        <v>87</v>
      </c>
      <c r="G90" t="s" s="146">
        <v>31</v>
      </c>
      <c r="H90" t="s" s="145">
        <v>104</v>
      </c>
      <c r="I90" t="s" s="145">
        <v>170</v>
      </c>
      <c r="J90" t="s" s="145">
        <v>163</v>
      </c>
      <c r="K90" t="s" s="147">
        <f>CONCATENATE(D90,".",E90,".",F90,".",G90,".",H90,".",I90,".",J90)</f>
        <v>392</v>
      </c>
      <c r="L90" t="s" s="148">
        <v>328</v>
      </c>
      <c r="M90" t="s" s="144">
        <v>326</v>
      </c>
      <c r="N90" s="149"/>
      <c r="O90" s="150"/>
      <c r="P90" s="150"/>
      <c r="Q90" s="151"/>
      <c r="R90" s="151"/>
      <c r="S90" s="151"/>
    </row>
    <row r="91" ht="20.1" customHeight="1" hidden="1">
      <c r="A91" s="142">
        <f t="shared" si="51"/>
        <v>88</v>
      </c>
      <c r="B91" t="s" s="143">
        <v>390</v>
      </c>
      <c r="C91" t="s" s="144">
        <f>'WBS'!$A$2</f>
        <v>323</v>
      </c>
      <c r="D91" t="s" s="145">
        <v>35</v>
      </c>
      <c r="E91" t="s" s="145">
        <v>63</v>
      </c>
      <c r="F91" t="s" s="145">
        <v>87</v>
      </c>
      <c r="G91" t="s" s="146">
        <v>131</v>
      </c>
      <c r="H91" t="s" s="145">
        <v>104</v>
      </c>
      <c r="I91" t="s" s="145">
        <v>173</v>
      </c>
      <c r="J91" t="s" s="145">
        <v>163</v>
      </c>
      <c r="K91" t="s" s="147">
        <f>CONCATENATE(D91,".",E91,".",F91,".",G91,".",H91,".",I91,".",J91)</f>
        <v>393</v>
      </c>
      <c r="L91" t="s" s="148">
        <v>132</v>
      </c>
      <c r="M91" t="s" s="144">
        <v>326</v>
      </c>
      <c r="N91" s="149"/>
      <c r="O91" s="150"/>
      <c r="P91" s="150"/>
      <c r="Q91" s="151"/>
      <c r="R91" s="151"/>
      <c r="S91" s="151"/>
    </row>
    <row r="92" ht="20.1" customHeight="1" hidden="1">
      <c r="A92" s="142">
        <f t="shared" si="51"/>
        <v>89</v>
      </c>
      <c r="B92" t="s" s="143">
        <v>390</v>
      </c>
      <c r="C92" t="s" s="144">
        <f>'WBS'!$A$2</f>
        <v>323</v>
      </c>
      <c r="D92" t="s" s="145">
        <v>35</v>
      </c>
      <c r="E92" t="s" s="145">
        <v>63</v>
      </c>
      <c r="F92" t="s" s="145">
        <v>87</v>
      </c>
      <c r="G92" t="s" s="146">
        <v>41</v>
      </c>
      <c r="H92" t="s" s="145">
        <v>104</v>
      </c>
      <c r="I92" t="s" s="145">
        <v>176</v>
      </c>
      <c r="J92" t="s" s="145">
        <v>163</v>
      </c>
      <c r="K92" t="s" s="147">
        <f>CONCATENATE(D92,".",E92,".",F92,".",G92,".",H92,".",I92,".",J92)</f>
        <v>394</v>
      </c>
      <c r="L92" t="s" s="148">
        <v>331</v>
      </c>
      <c r="M92" t="s" s="144">
        <v>326</v>
      </c>
      <c r="N92" s="149"/>
      <c r="O92" s="150"/>
      <c r="P92" s="150"/>
      <c r="Q92" s="151"/>
      <c r="R92" s="151"/>
      <c r="S92" s="151"/>
    </row>
    <row r="93" ht="20.1" customHeight="1" hidden="1">
      <c r="A93" s="142">
        <f t="shared" si="51"/>
        <v>90</v>
      </c>
      <c r="B93" t="s" s="143">
        <v>390</v>
      </c>
      <c r="C93" t="s" s="144">
        <f>'WBS'!$A$2</f>
        <v>323</v>
      </c>
      <c r="D93" t="s" s="145">
        <v>35</v>
      </c>
      <c r="E93" t="s" s="145">
        <v>63</v>
      </c>
      <c r="F93" t="s" s="145">
        <v>87</v>
      </c>
      <c r="G93" t="s" s="146">
        <v>51</v>
      </c>
      <c r="H93" t="s" s="145">
        <v>104</v>
      </c>
      <c r="I93" t="s" s="145">
        <v>179</v>
      </c>
      <c r="J93" t="s" s="145">
        <v>163</v>
      </c>
      <c r="K93" t="s" s="147">
        <f>CONCATENATE(D93,".",E93,".",F93,".",G93,".",H93,".",I93,".",J93)</f>
        <v>395</v>
      </c>
      <c r="L93" t="s" s="148">
        <v>333</v>
      </c>
      <c r="M93" t="s" s="144">
        <v>326</v>
      </c>
      <c r="N93" s="149"/>
      <c r="O93" s="150"/>
      <c r="P93" s="150"/>
      <c r="Q93" s="151"/>
      <c r="R93" s="151"/>
      <c r="S93" s="151"/>
    </row>
    <row r="94" ht="20.1" customHeight="1" hidden="1">
      <c r="A94" s="142">
        <f t="shared" si="51"/>
        <v>91</v>
      </c>
      <c r="B94" t="s" s="143">
        <v>390</v>
      </c>
      <c r="C94" t="s" s="144">
        <f>'WBS'!$A$2</f>
        <v>323</v>
      </c>
      <c r="D94" t="s" s="145">
        <v>35</v>
      </c>
      <c r="E94" t="s" s="145">
        <v>63</v>
      </c>
      <c r="F94" t="s" s="145">
        <v>87</v>
      </c>
      <c r="G94" t="s" s="146">
        <v>59</v>
      </c>
      <c r="H94" t="s" s="145">
        <v>104</v>
      </c>
      <c r="I94" t="s" s="145">
        <v>182</v>
      </c>
      <c r="J94" t="s" s="145">
        <v>163</v>
      </c>
      <c r="K94" t="s" s="147">
        <f>CONCATENATE(D94,".",E94,".",F94,".",G94,".",H94,".",I94,".",J94)</f>
        <v>396</v>
      </c>
      <c r="L94" t="s" s="148">
        <v>335</v>
      </c>
      <c r="M94" t="s" s="144">
        <v>326</v>
      </c>
      <c r="N94" s="149"/>
      <c r="O94" s="150"/>
      <c r="P94" s="150"/>
      <c r="Q94" s="151"/>
      <c r="R94" s="151"/>
      <c r="S94" s="151"/>
    </row>
    <row r="95" ht="20.1" customHeight="1" hidden="1">
      <c r="A95" s="142">
        <f t="shared" si="51"/>
        <v>92</v>
      </c>
      <c r="B95" t="s" s="143">
        <v>390</v>
      </c>
      <c r="C95" t="s" s="144">
        <f>'WBS'!$A$2</f>
        <v>323</v>
      </c>
      <c r="D95" t="s" s="145">
        <v>35</v>
      </c>
      <c r="E95" t="s" s="145">
        <v>63</v>
      </c>
      <c r="F95" t="s" s="145">
        <v>87</v>
      </c>
      <c r="G95" t="s" s="146">
        <v>67</v>
      </c>
      <c r="H95" t="s" s="145">
        <v>104</v>
      </c>
      <c r="I95" t="s" s="145">
        <v>185</v>
      </c>
      <c r="J95" t="s" s="145">
        <v>163</v>
      </c>
      <c r="K95" t="s" s="147">
        <f>CONCATENATE(D95,".",E95,".",F95,".",G95,".",H95,".",I95,".",J95)</f>
        <v>397</v>
      </c>
      <c r="L95" t="s" s="148">
        <v>337</v>
      </c>
      <c r="M95" t="s" s="144">
        <v>326</v>
      </c>
      <c r="N95" s="149"/>
      <c r="O95" s="150"/>
      <c r="P95" s="150"/>
      <c r="Q95" s="151"/>
      <c r="R95" s="151"/>
      <c r="S95" s="151"/>
    </row>
    <row r="96" ht="20.1" customHeight="1" hidden="1">
      <c r="A96" s="142">
        <f t="shared" si="51"/>
        <v>93</v>
      </c>
      <c r="B96" t="s" s="143">
        <v>390</v>
      </c>
      <c r="C96" t="s" s="144">
        <f>'WBS'!$A$2</f>
        <v>323</v>
      </c>
      <c r="D96" t="s" s="145">
        <v>35</v>
      </c>
      <c r="E96" t="s" s="145">
        <v>63</v>
      </c>
      <c r="F96" t="s" s="145">
        <v>87</v>
      </c>
      <c r="G96" t="s" s="146">
        <v>74</v>
      </c>
      <c r="H96" t="s" s="145">
        <v>104</v>
      </c>
      <c r="I96" t="s" s="145">
        <v>188</v>
      </c>
      <c r="J96" t="s" s="145">
        <v>163</v>
      </c>
      <c r="K96" t="s" s="147">
        <f>CONCATENATE(D96,".",E96,".",F96,".",G96,".",H96,".",I96,".",J96)</f>
        <v>398</v>
      </c>
      <c r="L96" t="s" s="148">
        <v>339</v>
      </c>
      <c r="M96" t="s" s="144">
        <v>326</v>
      </c>
      <c r="N96" s="149"/>
      <c r="O96" s="150"/>
      <c r="P96" s="150"/>
      <c r="Q96" s="151"/>
      <c r="R96" s="151"/>
      <c r="S96" s="151"/>
    </row>
    <row r="97" ht="20.1" customHeight="1" hidden="1">
      <c r="A97" s="142">
        <f t="shared" si="51"/>
        <v>94</v>
      </c>
      <c r="B97" t="s" s="143">
        <v>390</v>
      </c>
      <c r="C97" t="s" s="144">
        <f>'WBS'!$A$2</f>
        <v>323</v>
      </c>
      <c r="D97" t="s" s="145">
        <v>35</v>
      </c>
      <c r="E97" t="s" s="145">
        <v>63</v>
      </c>
      <c r="F97" t="s" s="145">
        <v>87</v>
      </c>
      <c r="G97" t="s" s="146">
        <v>134</v>
      </c>
      <c r="H97" t="s" s="145">
        <v>104</v>
      </c>
      <c r="I97" t="s" s="145">
        <v>191</v>
      </c>
      <c r="J97" t="s" s="145">
        <v>163</v>
      </c>
      <c r="K97" t="s" s="147">
        <f>CONCATENATE(D97,".",E97,".",F97,".",G97,".",H97,".",I97,".",J97)</f>
        <v>399</v>
      </c>
      <c r="L97" t="s" s="148">
        <v>341</v>
      </c>
      <c r="M97" t="s" s="144">
        <v>326</v>
      </c>
      <c r="N97" s="149"/>
      <c r="O97" s="150"/>
      <c r="P97" s="150"/>
      <c r="Q97" s="151"/>
      <c r="R97" s="151"/>
      <c r="S97" s="151"/>
    </row>
    <row r="98" ht="20.1" customHeight="1" hidden="1">
      <c r="A98" s="142">
        <f t="shared" si="51"/>
        <v>95</v>
      </c>
      <c r="B98" t="s" s="143">
        <v>390</v>
      </c>
      <c r="C98" t="s" s="144">
        <f>'WBS'!$A$2</f>
        <v>323</v>
      </c>
      <c r="D98" t="s" s="145">
        <v>35</v>
      </c>
      <c r="E98" t="s" s="145">
        <v>63</v>
      </c>
      <c r="F98" t="s" s="145">
        <v>87</v>
      </c>
      <c r="G98" t="s" s="146">
        <v>22</v>
      </c>
      <c r="H98" t="s" s="145">
        <v>110</v>
      </c>
      <c r="I98" t="s" s="145">
        <v>194</v>
      </c>
      <c r="J98" t="s" s="145">
        <v>163</v>
      </c>
      <c r="K98" t="s" s="147">
        <f>CONCATENATE(D98,".",E98,".",F98,".",G98,".",H98,".",I98,".",J98)</f>
        <v>400</v>
      </c>
      <c r="L98" t="s" s="148">
        <v>373</v>
      </c>
      <c r="M98" t="s" s="144">
        <v>326</v>
      </c>
      <c r="N98" s="149"/>
      <c r="O98" s="150"/>
      <c r="P98" s="150"/>
      <c r="Q98" s="151"/>
      <c r="R98" s="151"/>
      <c r="S98" s="151"/>
    </row>
    <row r="99" ht="20.1" customHeight="1" hidden="1">
      <c r="A99" s="142">
        <f t="shared" si="51"/>
        <v>96</v>
      </c>
      <c r="B99" t="s" s="143">
        <v>390</v>
      </c>
      <c r="C99" t="s" s="144">
        <f>'WBS'!$A$2</f>
        <v>323</v>
      </c>
      <c r="D99" t="s" s="145">
        <v>35</v>
      </c>
      <c r="E99" t="s" s="145">
        <v>63</v>
      </c>
      <c r="F99" t="s" s="145">
        <v>87</v>
      </c>
      <c r="G99" t="s" s="146">
        <v>22</v>
      </c>
      <c r="H99" t="s" s="145">
        <v>110</v>
      </c>
      <c r="I99" t="s" s="145">
        <v>197</v>
      </c>
      <c r="J99" t="s" s="145">
        <v>163</v>
      </c>
      <c r="K99" t="s" s="147">
        <f>CONCATENATE(D99,".",E99,".",F99,".",G99,".",H99,".",I99,".",J99)</f>
        <v>401</v>
      </c>
      <c r="L99" t="s" s="148">
        <v>376</v>
      </c>
      <c r="M99" t="s" s="144">
        <v>326</v>
      </c>
      <c r="N99" s="149"/>
      <c r="O99" s="150"/>
      <c r="P99" s="150"/>
      <c r="Q99" s="151"/>
      <c r="R99" s="151"/>
      <c r="S99" s="151"/>
    </row>
    <row r="100" ht="20.1" customHeight="1" hidden="1">
      <c r="A100" s="142">
        <f t="shared" si="51"/>
        <v>97</v>
      </c>
      <c r="B100" t="s" s="143">
        <v>390</v>
      </c>
      <c r="C100" t="s" s="144">
        <f>'WBS'!$A$2</f>
        <v>323</v>
      </c>
      <c r="D100" t="s" s="145">
        <v>35</v>
      </c>
      <c r="E100" t="s" s="145">
        <v>63</v>
      </c>
      <c r="F100" t="s" s="145">
        <v>87</v>
      </c>
      <c r="G100" t="s" s="146">
        <v>22</v>
      </c>
      <c r="H100" t="s" s="145">
        <v>110</v>
      </c>
      <c r="I100" t="s" s="145">
        <v>199</v>
      </c>
      <c r="J100" t="s" s="145">
        <v>163</v>
      </c>
      <c r="K100" t="s" s="147">
        <f>CONCATENATE(D100,".",E100,".",F100,".",G100,".",H100,".",I100,".",J100)</f>
        <v>402</v>
      </c>
      <c r="L100" t="s" s="148">
        <v>379</v>
      </c>
      <c r="M100" t="s" s="144">
        <v>326</v>
      </c>
      <c r="N100" s="149"/>
      <c r="O100" s="150"/>
      <c r="P100" s="150"/>
      <c r="Q100" s="151"/>
      <c r="R100" s="151"/>
      <c r="S100" s="151"/>
    </row>
    <row r="101" ht="20.1" customHeight="1" hidden="1">
      <c r="A101" s="142">
        <f t="shared" si="51"/>
        <v>98</v>
      </c>
      <c r="B101" t="s" s="143">
        <v>390</v>
      </c>
      <c r="C101" t="s" s="144">
        <f>'WBS'!$A$2</f>
        <v>323</v>
      </c>
      <c r="D101" t="s" s="145">
        <v>35</v>
      </c>
      <c r="E101" t="s" s="145">
        <v>63</v>
      </c>
      <c r="F101" t="s" s="145">
        <v>87</v>
      </c>
      <c r="G101" t="s" s="146">
        <v>22</v>
      </c>
      <c r="H101" t="s" s="145">
        <v>107</v>
      </c>
      <c r="I101" t="s" s="145">
        <v>202</v>
      </c>
      <c r="J101" t="s" s="145">
        <v>163</v>
      </c>
      <c r="K101" t="s" s="147">
        <f>CONCATENATE(D101,".",E101,".",F101,".",G101,".",H101,".",I101,".",J101)</f>
        <v>403</v>
      </c>
      <c r="L101" t="s" s="148">
        <v>382</v>
      </c>
      <c r="M101" t="s" s="144">
        <v>326</v>
      </c>
      <c r="N101" s="149"/>
      <c r="O101" s="150"/>
      <c r="P101" s="150"/>
      <c r="Q101" s="151"/>
      <c r="R101" s="151"/>
      <c r="S101" s="151"/>
    </row>
    <row r="102" ht="20.1" customHeight="1" hidden="1">
      <c r="A102" s="142">
        <f t="shared" si="51"/>
        <v>99</v>
      </c>
      <c r="B102" t="s" s="143">
        <v>390</v>
      </c>
      <c r="C102" t="s" s="144">
        <f>'WBS'!$A$2</f>
        <v>323</v>
      </c>
      <c r="D102" t="s" s="145">
        <v>35</v>
      </c>
      <c r="E102" t="s" s="145">
        <v>63</v>
      </c>
      <c r="F102" t="s" s="145">
        <v>87</v>
      </c>
      <c r="G102" t="s" s="146">
        <v>22</v>
      </c>
      <c r="H102" t="s" s="145">
        <v>107</v>
      </c>
      <c r="I102" t="s" s="145">
        <v>205</v>
      </c>
      <c r="J102" t="s" s="145">
        <v>163</v>
      </c>
      <c r="K102" t="s" s="147">
        <f>CONCATENATE(D102,".",E102,".",F102,".",G102,".",H102,".",I102,".",J102)</f>
        <v>404</v>
      </c>
      <c r="L102" t="s" s="148">
        <v>405</v>
      </c>
      <c r="M102" t="s" s="144">
        <v>326</v>
      </c>
      <c r="N102" s="149"/>
      <c r="O102" s="150"/>
      <c r="P102" s="150"/>
      <c r="Q102" s="151"/>
      <c r="R102" s="151"/>
      <c r="S102" s="151"/>
    </row>
    <row r="103" ht="20.1" customHeight="1" hidden="1">
      <c r="A103" s="142">
        <f t="shared" si="51"/>
        <v>100</v>
      </c>
      <c r="B103" t="s" s="143">
        <v>390</v>
      </c>
      <c r="C103" t="s" s="144">
        <f>'WBS'!$A$2</f>
        <v>323</v>
      </c>
      <c r="D103" t="s" s="145">
        <v>35</v>
      </c>
      <c r="E103" t="s" s="145">
        <v>63</v>
      </c>
      <c r="F103" t="s" s="145">
        <v>87</v>
      </c>
      <c r="G103" t="s" s="146">
        <v>22</v>
      </c>
      <c r="H103" t="s" s="145">
        <v>107</v>
      </c>
      <c r="I103" t="s" s="145">
        <v>208</v>
      </c>
      <c r="J103" t="s" s="145">
        <v>163</v>
      </c>
      <c r="K103" t="s" s="147">
        <f>CONCATENATE(D103,".",E103,".",F103,".",G103,".",H103,".",I103,".",J103)</f>
        <v>406</v>
      </c>
      <c r="L103" t="s" s="148">
        <v>407</v>
      </c>
      <c r="M103" t="s" s="144">
        <v>326</v>
      </c>
      <c r="N103" s="149"/>
      <c r="O103" s="150"/>
      <c r="P103" s="150"/>
      <c r="Q103" s="151"/>
      <c r="R103" s="151"/>
      <c r="S103" s="151"/>
    </row>
    <row r="104" ht="12" customHeight="1" hidden="1">
      <c r="A104" t="s" s="138">
        <v>408</v>
      </c>
      <c r="B104" s="139"/>
      <c r="C104" s="112"/>
      <c r="D104" s="139"/>
      <c r="E104" s="139"/>
      <c r="F104" s="139"/>
      <c r="G104" s="139"/>
      <c r="H104" s="139"/>
      <c r="I104" s="139"/>
      <c r="J104" s="139"/>
      <c r="K104" s="139"/>
      <c r="L104" s="139"/>
      <c r="M104" s="139"/>
      <c r="N104" s="76"/>
      <c r="O104" s="140"/>
      <c r="P104" s="140"/>
      <c r="Q104" s="130"/>
      <c r="R104" s="130"/>
      <c r="S104" s="141"/>
    </row>
    <row r="105" ht="20.1" customHeight="1" hidden="1">
      <c r="A105" s="142">
        <f t="shared" si="51"/>
        <v>102</v>
      </c>
      <c r="B105" t="s" s="143">
        <v>409</v>
      </c>
      <c r="C105" t="s" s="144">
        <f>'WBS'!$A$2</f>
        <v>323</v>
      </c>
      <c r="D105" t="s" s="145">
        <v>35</v>
      </c>
      <c r="E105" t="s" s="145">
        <v>63</v>
      </c>
      <c r="F105" t="s" s="145">
        <v>92</v>
      </c>
      <c r="G105" t="s" s="146">
        <v>127</v>
      </c>
      <c r="H105" t="s" s="145">
        <v>104</v>
      </c>
      <c r="I105" t="s" s="145">
        <v>167</v>
      </c>
      <c r="J105" t="s" s="145">
        <v>163</v>
      </c>
      <c r="K105" t="s" s="147">
        <f>CONCATENATE(D105,".",E105,".",F105,".",G105,".",H105,".",I105,".",J105)</f>
        <v>410</v>
      </c>
      <c r="L105" t="s" s="148">
        <v>325</v>
      </c>
      <c r="M105" t="s" s="144">
        <v>326</v>
      </c>
      <c r="N105" s="149"/>
      <c r="O105" s="150"/>
      <c r="P105" s="150"/>
      <c r="Q105" s="151"/>
      <c r="R105" s="151"/>
      <c r="S105" s="151"/>
    </row>
    <row r="106" ht="20.1" customHeight="1" hidden="1">
      <c r="A106" s="142">
        <f t="shared" si="51"/>
        <v>103</v>
      </c>
      <c r="B106" t="s" s="143">
        <v>409</v>
      </c>
      <c r="C106" t="s" s="144">
        <f>'WBS'!$A$2</f>
        <v>323</v>
      </c>
      <c r="D106" t="s" s="145">
        <v>35</v>
      </c>
      <c r="E106" t="s" s="145">
        <v>63</v>
      </c>
      <c r="F106" t="s" s="145">
        <v>92</v>
      </c>
      <c r="G106" t="s" s="146">
        <v>31</v>
      </c>
      <c r="H106" t="s" s="145">
        <v>104</v>
      </c>
      <c r="I106" t="s" s="145">
        <v>170</v>
      </c>
      <c r="J106" t="s" s="145">
        <v>163</v>
      </c>
      <c r="K106" t="s" s="147">
        <f>CONCATENATE(D106,".",E106,".",F106,".",G106,".",H106,".",I106,".",J106)</f>
        <v>411</v>
      </c>
      <c r="L106" t="s" s="148">
        <v>412</v>
      </c>
      <c r="M106" t="s" s="144">
        <v>326</v>
      </c>
      <c r="N106" s="149"/>
      <c r="O106" s="150"/>
      <c r="P106" s="150"/>
      <c r="Q106" s="151"/>
      <c r="R106" s="151"/>
      <c r="S106" s="151"/>
    </row>
    <row r="107" ht="20.1" customHeight="1" hidden="1">
      <c r="A107" s="142">
        <f t="shared" si="51"/>
        <v>104</v>
      </c>
      <c r="B107" t="s" s="143">
        <v>409</v>
      </c>
      <c r="C107" t="s" s="144">
        <f>'WBS'!$A$2</f>
        <v>323</v>
      </c>
      <c r="D107" t="s" s="145">
        <v>35</v>
      </c>
      <c r="E107" t="s" s="145">
        <v>63</v>
      </c>
      <c r="F107" t="s" s="145">
        <v>92</v>
      </c>
      <c r="G107" t="s" s="146">
        <v>31</v>
      </c>
      <c r="H107" t="s" s="145">
        <v>104</v>
      </c>
      <c r="I107" t="s" s="145">
        <v>173</v>
      </c>
      <c r="J107" t="s" s="145">
        <v>163</v>
      </c>
      <c r="K107" t="s" s="147">
        <f>CONCATENATE(D107,".",E107,".",F107,".",G107,".",H107,".",I107,".",J107)</f>
        <v>413</v>
      </c>
      <c r="L107" t="s" s="148">
        <v>414</v>
      </c>
      <c r="M107" t="s" s="144">
        <v>326</v>
      </c>
      <c r="N107" s="149"/>
      <c r="O107" s="150"/>
      <c r="P107" s="150"/>
      <c r="Q107" s="151"/>
      <c r="R107" s="151"/>
      <c r="S107" s="151"/>
    </row>
    <row r="108" ht="20.1" customHeight="1" hidden="1">
      <c r="A108" s="142">
        <f t="shared" si="51"/>
        <v>105</v>
      </c>
      <c r="B108" t="s" s="143">
        <v>409</v>
      </c>
      <c r="C108" t="s" s="144">
        <f>'WBS'!$A$2</f>
        <v>323</v>
      </c>
      <c r="D108" t="s" s="145">
        <v>35</v>
      </c>
      <c r="E108" t="s" s="145">
        <v>63</v>
      </c>
      <c r="F108" t="s" s="145">
        <v>92</v>
      </c>
      <c r="G108" t="s" s="146">
        <v>131</v>
      </c>
      <c r="H108" t="s" s="145">
        <v>104</v>
      </c>
      <c r="I108" t="s" s="145">
        <v>176</v>
      </c>
      <c r="J108" t="s" s="145">
        <v>163</v>
      </c>
      <c r="K108" t="s" s="147">
        <f>CONCATENATE(D108,".",E108,".",F108,".",G108,".",H108,".",I108,".",J108)</f>
        <v>415</v>
      </c>
      <c r="L108" t="s" s="148">
        <v>416</v>
      </c>
      <c r="M108" t="s" s="144">
        <v>326</v>
      </c>
      <c r="N108" s="149"/>
      <c r="O108" s="150"/>
      <c r="P108" s="150"/>
      <c r="Q108" s="151"/>
      <c r="R108" s="151"/>
      <c r="S108" s="151"/>
    </row>
    <row r="109" ht="20.1" customHeight="1" hidden="1">
      <c r="A109" s="142">
        <f t="shared" si="51"/>
        <v>106</v>
      </c>
      <c r="B109" t="s" s="143">
        <v>409</v>
      </c>
      <c r="C109" t="s" s="144">
        <f>'WBS'!$A$2</f>
        <v>323</v>
      </c>
      <c r="D109" t="s" s="145">
        <v>35</v>
      </c>
      <c r="E109" t="s" s="145">
        <v>63</v>
      </c>
      <c r="F109" t="s" s="145">
        <v>92</v>
      </c>
      <c r="G109" t="s" s="146">
        <v>131</v>
      </c>
      <c r="H109" t="s" s="145">
        <v>104</v>
      </c>
      <c r="I109" t="s" s="145">
        <v>179</v>
      </c>
      <c r="J109" t="s" s="145">
        <v>163</v>
      </c>
      <c r="K109" t="s" s="147">
        <f>CONCATENATE(D109,".",E109,".",F109,".",G109,".",H109,".",I109,".",J109)</f>
        <v>417</v>
      </c>
      <c r="L109" t="s" s="148">
        <v>418</v>
      </c>
      <c r="M109" t="s" s="144">
        <v>326</v>
      </c>
      <c r="N109" s="149"/>
      <c r="O109" s="150"/>
      <c r="P109" s="150"/>
      <c r="Q109" s="151"/>
      <c r="R109" s="151"/>
      <c r="S109" s="151"/>
    </row>
    <row r="110" ht="20.1" customHeight="1" hidden="1">
      <c r="A110" s="142">
        <f t="shared" si="51"/>
        <v>107</v>
      </c>
      <c r="B110" t="s" s="143">
        <v>409</v>
      </c>
      <c r="C110" t="s" s="144">
        <f>'WBS'!$A$2</f>
        <v>323</v>
      </c>
      <c r="D110" t="s" s="145">
        <v>35</v>
      </c>
      <c r="E110" t="s" s="145">
        <v>63</v>
      </c>
      <c r="F110" t="s" s="145">
        <v>92</v>
      </c>
      <c r="G110" t="s" s="146">
        <v>41</v>
      </c>
      <c r="H110" t="s" s="145">
        <v>104</v>
      </c>
      <c r="I110" t="s" s="145">
        <v>182</v>
      </c>
      <c r="J110" t="s" s="145">
        <v>163</v>
      </c>
      <c r="K110" t="s" s="147">
        <f>CONCATENATE(D110,".",E110,".",F110,".",G110,".",H110,".",I110,".",J110)</f>
        <v>419</v>
      </c>
      <c r="L110" t="s" s="148">
        <v>420</v>
      </c>
      <c r="M110" t="s" s="144">
        <v>326</v>
      </c>
      <c r="N110" s="149"/>
      <c r="O110" s="150"/>
      <c r="P110" s="150"/>
      <c r="Q110" s="151"/>
      <c r="R110" s="151"/>
      <c r="S110" s="151"/>
    </row>
    <row r="111" ht="20.1" customHeight="1" hidden="1">
      <c r="A111" s="142">
        <f t="shared" si="51"/>
        <v>108</v>
      </c>
      <c r="B111" t="s" s="143">
        <v>409</v>
      </c>
      <c r="C111" t="s" s="144">
        <f>'WBS'!$A$2</f>
        <v>323</v>
      </c>
      <c r="D111" t="s" s="145">
        <v>35</v>
      </c>
      <c r="E111" t="s" s="145">
        <v>63</v>
      </c>
      <c r="F111" t="s" s="145">
        <v>92</v>
      </c>
      <c r="G111" t="s" s="146">
        <v>41</v>
      </c>
      <c r="H111" t="s" s="145">
        <v>104</v>
      </c>
      <c r="I111" t="s" s="145">
        <v>185</v>
      </c>
      <c r="J111" t="s" s="145">
        <v>163</v>
      </c>
      <c r="K111" t="s" s="147">
        <f>CONCATENATE(D111,".",E111,".",F111,".",G111,".",H111,".",I111,".",J111)</f>
        <v>421</v>
      </c>
      <c r="L111" t="s" s="148">
        <v>422</v>
      </c>
      <c r="M111" t="s" s="144">
        <v>326</v>
      </c>
      <c r="N111" s="149"/>
      <c r="O111" s="150"/>
      <c r="P111" s="150"/>
      <c r="Q111" s="151"/>
      <c r="R111" s="151"/>
      <c r="S111" s="151"/>
    </row>
    <row r="112" ht="20.1" customHeight="1" hidden="1">
      <c r="A112" s="142">
        <f t="shared" si="51"/>
        <v>109</v>
      </c>
      <c r="B112" t="s" s="143">
        <v>409</v>
      </c>
      <c r="C112" t="s" s="144">
        <f>'WBS'!$A$2</f>
        <v>323</v>
      </c>
      <c r="D112" t="s" s="145">
        <v>35</v>
      </c>
      <c r="E112" t="s" s="145">
        <v>63</v>
      </c>
      <c r="F112" t="s" s="145">
        <v>92</v>
      </c>
      <c r="G112" t="s" s="146">
        <v>51</v>
      </c>
      <c r="H112" t="s" s="145">
        <v>104</v>
      </c>
      <c r="I112" t="s" s="145">
        <v>188</v>
      </c>
      <c r="J112" t="s" s="145">
        <v>163</v>
      </c>
      <c r="K112" t="s" s="147">
        <f>CONCATENATE(D112,".",E112,".",F112,".",G112,".",H112,".",I112,".",J112)</f>
        <v>423</v>
      </c>
      <c r="L112" t="s" s="148">
        <v>424</v>
      </c>
      <c r="M112" t="s" s="144">
        <v>326</v>
      </c>
      <c r="N112" s="149"/>
      <c r="O112" s="150"/>
      <c r="P112" s="150"/>
      <c r="Q112" s="151"/>
      <c r="R112" s="151"/>
      <c r="S112" s="151"/>
    </row>
    <row r="113" ht="20.1" customHeight="1" hidden="1">
      <c r="A113" s="142">
        <f t="shared" si="51"/>
        <v>110</v>
      </c>
      <c r="B113" t="s" s="143">
        <v>409</v>
      </c>
      <c r="C113" t="s" s="144">
        <f>'WBS'!$A$2</f>
        <v>323</v>
      </c>
      <c r="D113" t="s" s="145">
        <v>35</v>
      </c>
      <c r="E113" t="s" s="145">
        <v>63</v>
      </c>
      <c r="F113" t="s" s="145">
        <v>92</v>
      </c>
      <c r="G113" t="s" s="146">
        <v>51</v>
      </c>
      <c r="H113" t="s" s="145">
        <v>104</v>
      </c>
      <c r="I113" t="s" s="145">
        <v>191</v>
      </c>
      <c r="J113" t="s" s="145">
        <v>163</v>
      </c>
      <c r="K113" t="s" s="147">
        <f>CONCATENATE(D113,".",E113,".",F113,".",G113,".",H113,".",I113,".",J113)</f>
        <v>425</v>
      </c>
      <c r="L113" t="s" s="148">
        <v>426</v>
      </c>
      <c r="M113" t="s" s="144">
        <v>326</v>
      </c>
      <c r="N113" s="149"/>
      <c r="O113" s="150"/>
      <c r="P113" s="150"/>
      <c r="Q113" s="151"/>
      <c r="R113" s="151"/>
      <c r="S113" s="151"/>
    </row>
    <row r="114" ht="20.1" customHeight="1" hidden="1">
      <c r="A114" s="142">
        <f t="shared" si="51"/>
        <v>111</v>
      </c>
      <c r="B114" t="s" s="143">
        <v>409</v>
      </c>
      <c r="C114" t="s" s="144">
        <f>'WBS'!$A$2</f>
        <v>323</v>
      </c>
      <c r="D114" t="s" s="145">
        <v>35</v>
      </c>
      <c r="E114" t="s" s="145">
        <v>63</v>
      </c>
      <c r="F114" t="s" s="145">
        <v>92</v>
      </c>
      <c r="G114" t="s" s="146">
        <v>59</v>
      </c>
      <c r="H114" t="s" s="145">
        <v>104</v>
      </c>
      <c r="I114" t="s" s="145">
        <v>194</v>
      </c>
      <c r="J114" t="s" s="145">
        <v>163</v>
      </c>
      <c r="K114" t="s" s="147">
        <f>CONCATENATE(D114,".",E114,".",F114,".",G114,".",H114,".",I114,".",J114)</f>
        <v>427</v>
      </c>
      <c r="L114" t="s" s="148">
        <v>335</v>
      </c>
      <c r="M114" t="s" s="144">
        <v>326</v>
      </c>
      <c r="N114" s="149"/>
      <c r="O114" s="150"/>
      <c r="P114" s="150"/>
      <c r="Q114" s="151"/>
      <c r="R114" s="151"/>
      <c r="S114" s="151"/>
    </row>
    <row r="115" ht="20.1" customHeight="1" hidden="1">
      <c r="A115" s="142">
        <f t="shared" si="51"/>
        <v>112</v>
      </c>
      <c r="B115" t="s" s="143">
        <v>409</v>
      </c>
      <c r="C115" t="s" s="144">
        <f>'WBS'!$A$2</f>
        <v>323</v>
      </c>
      <c r="D115" t="s" s="145">
        <v>35</v>
      </c>
      <c r="E115" t="s" s="145">
        <v>63</v>
      </c>
      <c r="F115" t="s" s="145">
        <v>92</v>
      </c>
      <c r="G115" t="s" s="146">
        <v>22</v>
      </c>
      <c r="H115" t="s" s="145">
        <v>110</v>
      </c>
      <c r="I115" t="s" s="145">
        <v>197</v>
      </c>
      <c r="J115" t="s" s="145">
        <v>163</v>
      </c>
      <c r="K115" t="s" s="147">
        <f>CONCATENATE(D115,".",E115,".",F115,".",G115,".",H115,".",I115,".",J115)</f>
        <v>428</v>
      </c>
      <c r="L115" t="s" s="148">
        <v>373</v>
      </c>
      <c r="M115" t="s" s="144">
        <v>326</v>
      </c>
      <c r="N115" s="149"/>
      <c r="O115" s="150"/>
      <c r="P115" s="150"/>
      <c r="Q115" s="151"/>
      <c r="R115" s="151"/>
      <c r="S115" s="151"/>
    </row>
    <row r="116" ht="20.1" customHeight="1" hidden="1">
      <c r="A116" s="142">
        <f t="shared" si="51"/>
        <v>113</v>
      </c>
      <c r="B116" t="s" s="143">
        <v>409</v>
      </c>
      <c r="C116" t="s" s="144">
        <f>'WBS'!$A$2</f>
        <v>323</v>
      </c>
      <c r="D116" t="s" s="145">
        <v>35</v>
      </c>
      <c r="E116" t="s" s="145">
        <v>63</v>
      </c>
      <c r="F116" t="s" s="145">
        <v>92</v>
      </c>
      <c r="G116" t="s" s="146">
        <v>22</v>
      </c>
      <c r="H116" t="s" s="145">
        <v>110</v>
      </c>
      <c r="I116" t="s" s="145">
        <v>199</v>
      </c>
      <c r="J116" t="s" s="145">
        <v>163</v>
      </c>
      <c r="K116" t="s" s="147">
        <f>CONCATENATE(D116,".",E116,".",F116,".",G116,".",H116,".",I116,".",J116)</f>
        <v>429</v>
      </c>
      <c r="L116" t="s" s="148">
        <v>376</v>
      </c>
      <c r="M116" t="s" s="144">
        <v>326</v>
      </c>
      <c r="N116" s="149"/>
      <c r="O116" s="150"/>
      <c r="P116" s="150"/>
      <c r="Q116" s="151"/>
      <c r="R116" s="151"/>
      <c r="S116" s="151"/>
    </row>
    <row r="117" ht="20.1" customHeight="1" hidden="1">
      <c r="A117" s="142">
        <f t="shared" si="51"/>
        <v>114</v>
      </c>
      <c r="B117" t="s" s="143">
        <v>409</v>
      </c>
      <c r="C117" t="s" s="144">
        <f>'WBS'!$A$2</f>
        <v>323</v>
      </c>
      <c r="D117" t="s" s="145">
        <v>35</v>
      </c>
      <c r="E117" t="s" s="145">
        <v>63</v>
      </c>
      <c r="F117" t="s" s="145">
        <v>92</v>
      </c>
      <c r="G117" t="s" s="146">
        <v>22</v>
      </c>
      <c r="H117" t="s" s="145">
        <v>110</v>
      </c>
      <c r="I117" t="s" s="145">
        <v>202</v>
      </c>
      <c r="J117" t="s" s="145">
        <v>163</v>
      </c>
      <c r="K117" t="s" s="147">
        <f>CONCATENATE(D117,".",E117,".",F117,".",G117,".",H117,".",I117,".",J117)</f>
        <v>430</v>
      </c>
      <c r="L117" t="s" s="148">
        <v>431</v>
      </c>
      <c r="M117" t="s" s="144">
        <v>326</v>
      </c>
      <c r="N117" s="149"/>
      <c r="O117" s="150"/>
      <c r="P117" s="150"/>
      <c r="Q117" s="151"/>
      <c r="R117" s="151"/>
      <c r="S117" s="151"/>
    </row>
    <row r="118" ht="20.1" customHeight="1" hidden="1">
      <c r="A118" s="142">
        <f t="shared" si="51"/>
        <v>115</v>
      </c>
      <c r="B118" t="s" s="143">
        <v>409</v>
      </c>
      <c r="C118" t="s" s="144">
        <f>'WBS'!$A$2</f>
        <v>323</v>
      </c>
      <c r="D118" t="s" s="145">
        <v>35</v>
      </c>
      <c r="E118" t="s" s="145">
        <v>63</v>
      </c>
      <c r="F118" t="s" s="145">
        <v>92</v>
      </c>
      <c r="G118" t="s" s="146">
        <v>22</v>
      </c>
      <c r="H118" t="s" s="145">
        <v>110</v>
      </c>
      <c r="I118" t="s" s="145">
        <v>205</v>
      </c>
      <c r="J118" t="s" s="145">
        <v>163</v>
      </c>
      <c r="K118" t="s" s="147">
        <f>CONCATENATE(D118,".",E118,".",F118,".",G118,".",H118,".",I118,".",J118)</f>
        <v>432</v>
      </c>
      <c r="L118" t="s" s="148">
        <v>433</v>
      </c>
      <c r="M118" t="s" s="144">
        <v>434</v>
      </c>
      <c r="N118" s="149"/>
      <c r="O118" s="150"/>
      <c r="P118" s="150"/>
      <c r="Q118" s="151"/>
      <c r="R118" s="151"/>
      <c r="S118" s="151"/>
    </row>
    <row r="119" ht="20.1" customHeight="1" hidden="1">
      <c r="A119" s="142">
        <f t="shared" si="51"/>
        <v>116</v>
      </c>
      <c r="B119" t="s" s="143">
        <v>409</v>
      </c>
      <c r="C119" t="s" s="144">
        <f>'WBS'!$A$2</f>
        <v>323</v>
      </c>
      <c r="D119" t="s" s="145">
        <v>35</v>
      </c>
      <c r="E119" t="s" s="145">
        <v>63</v>
      </c>
      <c r="F119" t="s" s="145">
        <v>92</v>
      </c>
      <c r="G119" t="s" s="146">
        <v>22</v>
      </c>
      <c r="H119" t="s" s="145">
        <v>107</v>
      </c>
      <c r="I119" t="s" s="145">
        <v>208</v>
      </c>
      <c r="J119" t="s" s="145">
        <v>163</v>
      </c>
      <c r="K119" t="s" s="147">
        <f>CONCATENATE(D119,".",E119,".",F119,".",G119,".",H119,".",I119,".",J119)</f>
        <v>435</v>
      </c>
      <c r="L119" t="s" s="148">
        <v>382</v>
      </c>
      <c r="M119" t="s" s="144">
        <v>326</v>
      </c>
      <c r="N119" s="149"/>
      <c r="O119" s="150"/>
      <c r="P119" s="150"/>
      <c r="Q119" s="151"/>
      <c r="R119" s="151"/>
      <c r="S119" s="151"/>
    </row>
    <row r="120" ht="20.1" customHeight="1" hidden="1">
      <c r="A120" s="142">
        <f t="shared" si="51"/>
        <v>117</v>
      </c>
      <c r="B120" t="s" s="143">
        <v>409</v>
      </c>
      <c r="C120" t="s" s="144">
        <f>'WBS'!$A$2</f>
        <v>323</v>
      </c>
      <c r="D120" t="s" s="145">
        <v>35</v>
      </c>
      <c r="E120" t="s" s="145">
        <v>63</v>
      </c>
      <c r="F120" t="s" s="145">
        <v>92</v>
      </c>
      <c r="G120" t="s" s="146">
        <v>22</v>
      </c>
      <c r="H120" t="s" s="145">
        <v>107</v>
      </c>
      <c r="I120" t="s" s="145">
        <v>211</v>
      </c>
      <c r="J120" t="s" s="145">
        <v>163</v>
      </c>
      <c r="K120" t="s" s="147">
        <f>CONCATENATE(D120,".",E120,".",F120,".",G120,".",H120,".",I120,".",J120)</f>
        <v>436</v>
      </c>
      <c r="L120" t="s" s="148">
        <v>405</v>
      </c>
      <c r="M120" t="s" s="144">
        <v>326</v>
      </c>
      <c r="N120" s="149"/>
      <c r="O120" s="150"/>
      <c r="P120" s="150"/>
      <c r="Q120" s="151"/>
      <c r="R120" s="151"/>
      <c r="S120" s="151"/>
    </row>
    <row r="121" ht="20.1" customHeight="1" hidden="1">
      <c r="A121" s="142">
        <f t="shared" si="51"/>
        <v>118</v>
      </c>
      <c r="B121" t="s" s="143">
        <v>409</v>
      </c>
      <c r="C121" t="s" s="144">
        <f>'WBS'!$A$2</f>
        <v>323</v>
      </c>
      <c r="D121" t="s" s="145">
        <v>35</v>
      </c>
      <c r="E121" t="s" s="145">
        <v>63</v>
      </c>
      <c r="F121" t="s" s="145">
        <v>92</v>
      </c>
      <c r="G121" t="s" s="146">
        <v>22</v>
      </c>
      <c r="H121" t="s" s="145">
        <v>107</v>
      </c>
      <c r="I121" t="s" s="145">
        <v>214</v>
      </c>
      <c r="J121" t="s" s="145">
        <v>163</v>
      </c>
      <c r="K121" t="s" s="147">
        <f>CONCATENATE(D121,".",E121,".",F121,".",G121,".",H121,".",I121,".",J121)</f>
        <v>437</v>
      </c>
      <c r="L121" t="s" s="148">
        <v>407</v>
      </c>
      <c r="M121" t="s" s="144">
        <v>326</v>
      </c>
      <c r="N121" s="149"/>
      <c r="O121" s="150"/>
      <c r="P121" s="150"/>
      <c r="Q121" s="151"/>
      <c r="R121" s="151"/>
      <c r="S121" s="151"/>
    </row>
    <row r="122" ht="30" customHeight="1">
      <c r="A122" t="s" s="156">
        <v>438</v>
      </c>
      <c r="B122" s="112"/>
      <c r="C122" s="112"/>
      <c r="D122" s="112"/>
      <c r="E122" s="112"/>
      <c r="F122" s="112"/>
      <c r="G122" s="112"/>
      <c r="H122" s="112"/>
      <c r="I122" s="112"/>
      <c r="J122" s="112"/>
      <c r="K122" s="112"/>
      <c r="L122" s="112"/>
      <c r="M122" s="113"/>
      <c r="N122" s="114"/>
      <c r="O122" s="115"/>
      <c r="P122" s="116"/>
      <c r="Q122" s="116"/>
      <c r="R122" s="116"/>
      <c r="S122" s="117"/>
    </row>
    <row r="123" ht="30" customHeight="1">
      <c r="A123" s="89"/>
      <c r="B123" t="s" s="90">
        <v>438</v>
      </c>
      <c r="C123" t="s" s="91">
        <v>161</v>
      </c>
      <c r="D123" t="s" s="91">
        <v>35</v>
      </c>
      <c r="E123" t="s" s="91">
        <v>27</v>
      </c>
      <c r="F123" t="s" s="91">
        <v>20</v>
      </c>
      <c r="G123" t="s" s="91">
        <v>22</v>
      </c>
      <c r="H123" t="s" s="91">
        <v>101</v>
      </c>
      <c r="I123" t="s" s="91">
        <v>218</v>
      </c>
      <c r="J123" t="s" s="91">
        <v>163</v>
      </c>
      <c r="K123" t="s" s="92">
        <f>CONCATENATE(D123,".",E123,".",F123,".",G123,".",H123,".",I123,".",J123)</f>
        <v>439</v>
      </c>
      <c r="L123" t="s" s="93">
        <v>440</v>
      </c>
      <c r="M123" t="s" s="157">
        <v>441</v>
      </c>
      <c r="N123" s="95"/>
      <c r="O123" s="118"/>
      <c r="P123" s="119"/>
      <c r="Q123" s="119"/>
      <c r="R123" s="119"/>
      <c r="S123" s="125"/>
    </row>
    <row r="124" ht="30" customHeight="1">
      <c r="A124" s="100"/>
      <c r="B124" t="s" s="90">
        <v>438</v>
      </c>
      <c r="C124" t="s" s="91">
        <v>161</v>
      </c>
      <c r="D124" t="s" s="91">
        <v>35</v>
      </c>
      <c r="E124" t="s" s="91">
        <v>27</v>
      </c>
      <c r="F124" t="s" s="91">
        <v>20</v>
      </c>
      <c r="G124" t="s" s="91">
        <v>22</v>
      </c>
      <c r="H124" t="s" s="91">
        <v>101</v>
      </c>
      <c r="I124" t="s" s="91">
        <v>221</v>
      </c>
      <c r="J124" t="s" s="91">
        <v>163</v>
      </c>
      <c r="K124" t="s" s="92">
        <f>CONCATENATE(D124,".",E124,".",F124,".",G124,".",H124,".",I124,".",J124)</f>
        <v>442</v>
      </c>
      <c r="L124" t="s" s="93">
        <v>443</v>
      </c>
      <c r="M124" t="s" s="157">
        <v>326</v>
      </c>
      <c r="N124" s="95"/>
      <c r="O124" s="96"/>
      <c r="P124" s="97"/>
      <c r="Q124" s="97"/>
      <c r="R124" s="97"/>
      <c r="S124" s="99"/>
    </row>
    <row r="125" ht="30" customHeight="1">
      <c r="A125" s="101"/>
      <c r="B125" t="s" s="90">
        <v>438</v>
      </c>
      <c r="C125" t="s" s="91">
        <v>161</v>
      </c>
      <c r="D125" t="s" s="91">
        <v>35</v>
      </c>
      <c r="E125" t="s" s="91">
        <v>27</v>
      </c>
      <c r="F125" t="s" s="91">
        <v>20</v>
      </c>
      <c r="G125" t="s" s="91">
        <v>31</v>
      </c>
      <c r="H125" t="s" s="91">
        <v>104</v>
      </c>
      <c r="I125" t="s" s="91">
        <v>224</v>
      </c>
      <c r="J125" t="s" s="91">
        <v>163</v>
      </c>
      <c r="K125" t="s" s="92">
        <f>CONCATENATE(D125,".",E125,".",F125,".",G125,".",H125,".",I125,".",J125)</f>
        <v>444</v>
      </c>
      <c r="L125" t="s" s="93">
        <v>445</v>
      </c>
      <c r="M125" t="s" s="157">
        <v>446</v>
      </c>
      <c r="N125" s="95"/>
      <c r="O125" s="96"/>
      <c r="P125" s="97"/>
      <c r="Q125" s="97"/>
      <c r="R125" s="97"/>
      <c r="S125" s="99"/>
    </row>
    <row r="126" ht="30" customHeight="1">
      <c r="A126" s="89"/>
      <c r="B126" t="s" s="90">
        <v>438</v>
      </c>
      <c r="C126" t="s" s="91">
        <v>161</v>
      </c>
      <c r="D126" t="s" s="91">
        <v>35</v>
      </c>
      <c r="E126" t="s" s="91">
        <v>27</v>
      </c>
      <c r="F126" t="s" s="91">
        <v>20</v>
      </c>
      <c r="G126" t="s" s="91">
        <v>31</v>
      </c>
      <c r="H126" t="s" s="91">
        <v>104</v>
      </c>
      <c r="I126" t="s" s="91">
        <v>227</v>
      </c>
      <c r="J126" t="s" s="91">
        <v>163</v>
      </c>
      <c r="K126" t="s" s="92">
        <f>CONCATENATE(D126,".",E126,".",F126,".",G126,".",H126,".",I126,".",J126)</f>
        <v>447</v>
      </c>
      <c r="L126" t="s" s="93">
        <v>448</v>
      </c>
      <c r="M126" t="s" s="157">
        <v>446</v>
      </c>
      <c r="N126" s="95"/>
      <c r="O126" s="96"/>
      <c r="P126" s="97"/>
      <c r="Q126" s="97"/>
      <c r="R126" s="97"/>
      <c r="S126" s="99"/>
    </row>
    <row r="127" ht="30" customHeight="1">
      <c r="A127" s="89"/>
      <c r="B127" t="s" s="90">
        <v>438</v>
      </c>
      <c r="C127" t="s" s="91">
        <v>161</v>
      </c>
      <c r="D127" t="s" s="91">
        <v>35</v>
      </c>
      <c r="E127" t="s" s="91">
        <v>27</v>
      </c>
      <c r="F127" t="s" s="91">
        <v>20</v>
      </c>
      <c r="G127" t="s" s="91">
        <v>127</v>
      </c>
      <c r="H127" t="s" s="91">
        <v>104</v>
      </c>
      <c r="I127" t="s" s="91">
        <v>230</v>
      </c>
      <c r="J127" t="s" s="91">
        <v>163</v>
      </c>
      <c r="K127" t="s" s="92">
        <f>CONCATENATE(D127,".",E127,".",F127,".",G127,".",H127,".",I127,".",J127)</f>
        <v>449</v>
      </c>
      <c r="L127" t="s" s="93">
        <v>450</v>
      </c>
      <c r="M127" t="s" s="157">
        <v>446</v>
      </c>
      <c r="N127" s="95"/>
      <c r="O127" s="96"/>
      <c r="P127" s="97"/>
      <c r="Q127" s="97"/>
      <c r="R127" s="97"/>
      <c r="S127" s="99"/>
    </row>
    <row r="128" ht="30" customHeight="1">
      <c r="A128" s="89"/>
      <c r="B128" t="s" s="90">
        <v>438</v>
      </c>
      <c r="C128" t="s" s="91">
        <v>161</v>
      </c>
      <c r="D128" t="s" s="91">
        <v>35</v>
      </c>
      <c r="E128" t="s" s="91">
        <v>27</v>
      </c>
      <c r="F128" t="s" s="91">
        <v>20</v>
      </c>
      <c r="G128" t="s" s="91">
        <v>31</v>
      </c>
      <c r="H128" t="s" s="91">
        <v>104</v>
      </c>
      <c r="I128" t="s" s="91">
        <v>233</v>
      </c>
      <c r="J128" t="s" s="91">
        <v>163</v>
      </c>
      <c r="K128" t="s" s="92">
        <f>CONCATENATE(D128,".",E128,".",F128,".",G128,".",H128,".",I128,".",J128)</f>
        <v>451</v>
      </c>
      <c r="L128" t="s" s="93">
        <v>452</v>
      </c>
      <c r="M128" t="s" s="157">
        <v>446</v>
      </c>
      <c r="N128" s="95"/>
      <c r="O128" s="96"/>
      <c r="P128" s="97"/>
      <c r="Q128" s="97"/>
      <c r="R128" s="97"/>
      <c r="S128" s="99"/>
    </row>
    <row r="129" ht="30" customHeight="1">
      <c r="A129" s="89"/>
      <c r="B129" t="s" s="90">
        <v>438</v>
      </c>
      <c r="C129" t="s" s="91">
        <v>161</v>
      </c>
      <c r="D129" t="s" s="91">
        <v>35</v>
      </c>
      <c r="E129" t="s" s="91">
        <v>27</v>
      </c>
      <c r="F129" t="s" s="91">
        <v>20</v>
      </c>
      <c r="G129" t="s" s="91">
        <v>41</v>
      </c>
      <c r="H129" t="s" s="91">
        <v>104</v>
      </c>
      <c r="I129" t="s" s="91">
        <v>236</v>
      </c>
      <c r="J129" t="s" s="91">
        <v>163</v>
      </c>
      <c r="K129" t="s" s="92">
        <f>CONCATENATE(D129,".",E129,".",F129,".",G129,".",H129,".",I129,".",J129)</f>
        <v>453</v>
      </c>
      <c r="L129" t="s" s="93">
        <v>454</v>
      </c>
      <c r="M129" t="s" s="157">
        <v>446</v>
      </c>
      <c r="N129" s="95"/>
      <c r="O129" s="96"/>
      <c r="P129" s="97"/>
      <c r="Q129" s="97"/>
      <c r="R129" s="97"/>
      <c r="S129" s="99"/>
    </row>
    <row r="130" ht="30" customHeight="1">
      <c r="A130" s="89"/>
      <c r="B130" t="s" s="90">
        <v>438</v>
      </c>
      <c r="C130" t="s" s="91">
        <v>161</v>
      </c>
      <c r="D130" t="s" s="91">
        <v>35</v>
      </c>
      <c r="E130" t="s" s="91">
        <v>27</v>
      </c>
      <c r="F130" t="s" s="91">
        <v>20</v>
      </c>
      <c r="G130" t="s" s="91">
        <v>51</v>
      </c>
      <c r="H130" t="s" s="91">
        <v>104</v>
      </c>
      <c r="I130" t="s" s="91">
        <v>455</v>
      </c>
      <c r="J130" t="s" s="91">
        <v>163</v>
      </c>
      <c r="K130" t="s" s="92">
        <f>CONCATENATE(D130,".",E130,".",F130,".",G130,".",H130,".",I130,".",J130)</f>
        <v>456</v>
      </c>
      <c r="L130" t="s" s="93">
        <v>457</v>
      </c>
      <c r="M130" t="s" s="157">
        <v>446</v>
      </c>
      <c r="N130" s="95"/>
      <c r="O130" s="96"/>
      <c r="P130" s="97"/>
      <c r="Q130" s="97"/>
      <c r="R130" s="97"/>
      <c r="S130" s="99"/>
    </row>
    <row r="131" ht="30" customHeight="1">
      <c r="A131" s="89"/>
      <c r="B131" t="s" s="90">
        <v>438</v>
      </c>
      <c r="C131" t="s" s="91">
        <v>161</v>
      </c>
      <c r="D131" t="s" s="91">
        <v>35</v>
      </c>
      <c r="E131" t="s" s="91">
        <v>27</v>
      </c>
      <c r="F131" t="s" s="91">
        <v>20</v>
      </c>
      <c r="G131" t="s" s="91">
        <v>134</v>
      </c>
      <c r="H131" t="s" s="91">
        <v>104</v>
      </c>
      <c r="I131" t="s" s="91">
        <v>458</v>
      </c>
      <c r="J131" t="s" s="91">
        <v>163</v>
      </c>
      <c r="K131" t="s" s="92">
        <f>CONCATENATE(D131,".",E131,".",F131,".",G131,".",H131,".",I131,".",J131)</f>
        <v>459</v>
      </c>
      <c r="L131" t="s" s="93">
        <v>460</v>
      </c>
      <c r="M131" t="s" s="157">
        <v>446</v>
      </c>
      <c r="N131" s="95"/>
      <c r="O131" s="96"/>
      <c r="P131" s="97"/>
      <c r="Q131" s="97"/>
      <c r="R131" s="97"/>
      <c r="S131" s="99"/>
    </row>
    <row r="132" ht="30" customHeight="1">
      <c r="A132" s="89"/>
      <c r="B132" t="s" s="90">
        <v>438</v>
      </c>
      <c r="C132" t="s" s="91">
        <v>161</v>
      </c>
      <c r="D132" t="s" s="91">
        <v>35</v>
      </c>
      <c r="E132" t="s" s="91">
        <v>27</v>
      </c>
      <c r="F132" t="s" s="91">
        <v>20</v>
      </c>
      <c r="G132" t="s" s="91">
        <v>127</v>
      </c>
      <c r="H132" t="s" s="91">
        <v>104</v>
      </c>
      <c r="I132" t="s" s="91">
        <v>461</v>
      </c>
      <c r="J132" t="s" s="91">
        <v>163</v>
      </c>
      <c r="K132" t="s" s="92">
        <f>CONCATENATE(D132,".",E132,".",F132,".",G132,".",H132,".",I132,".",J132)</f>
        <v>462</v>
      </c>
      <c r="L132" t="s" s="93">
        <v>463</v>
      </c>
      <c r="M132" t="s" s="157">
        <v>446</v>
      </c>
      <c r="N132" s="95"/>
      <c r="O132" s="96"/>
      <c r="P132" s="97"/>
      <c r="Q132" s="97"/>
      <c r="R132" s="97"/>
      <c r="S132" s="99"/>
    </row>
    <row r="133" ht="30" customHeight="1">
      <c r="A133" s="89"/>
      <c r="B133" t="s" s="90">
        <v>438</v>
      </c>
      <c r="C133" t="s" s="91">
        <v>161</v>
      </c>
      <c r="D133" t="s" s="91">
        <v>35</v>
      </c>
      <c r="E133" t="s" s="91">
        <v>27</v>
      </c>
      <c r="F133" t="s" s="91">
        <v>20</v>
      </c>
      <c r="G133" t="s" s="91">
        <v>31</v>
      </c>
      <c r="H133" t="s" s="91">
        <v>104</v>
      </c>
      <c r="I133" t="s" s="91">
        <v>464</v>
      </c>
      <c r="J133" t="s" s="91">
        <v>163</v>
      </c>
      <c r="K133" t="s" s="92">
        <f>CONCATENATE(D133,".",E133,".",F133,".",G133,".",H133,".",I133,".",J133)</f>
        <v>465</v>
      </c>
      <c r="L133" t="s" s="93">
        <v>466</v>
      </c>
      <c r="M133" t="s" s="157">
        <v>446</v>
      </c>
      <c r="N133" s="95"/>
      <c r="O133" s="96"/>
      <c r="P133" s="97"/>
      <c r="Q133" s="97"/>
      <c r="R133" s="97"/>
      <c r="S133" s="99"/>
    </row>
    <row r="134" ht="30" customHeight="1">
      <c r="A134" s="89"/>
      <c r="B134" t="s" s="90">
        <v>438</v>
      </c>
      <c r="C134" t="s" s="91">
        <v>161</v>
      </c>
      <c r="D134" t="s" s="91">
        <v>35</v>
      </c>
      <c r="E134" t="s" s="91">
        <v>27</v>
      </c>
      <c r="F134" t="s" s="91">
        <v>20</v>
      </c>
      <c r="G134" t="s" s="91">
        <v>41</v>
      </c>
      <c r="H134" t="s" s="91">
        <v>104</v>
      </c>
      <c r="I134" t="s" s="91">
        <v>467</v>
      </c>
      <c r="J134" t="s" s="91">
        <v>163</v>
      </c>
      <c r="K134" t="s" s="92">
        <f>CONCATENATE(D134,".",E134,".",F134,".",G134,".",H134,".",I134,".",J134)</f>
        <v>468</v>
      </c>
      <c r="L134" t="s" s="93">
        <v>469</v>
      </c>
      <c r="M134" t="s" s="157">
        <v>446</v>
      </c>
      <c r="N134" s="95"/>
      <c r="O134" s="96"/>
      <c r="P134" s="97"/>
      <c r="Q134" s="97"/>
      <c r="R134" s="97"/>
      <c r="S134" s="99"/>
    </row>
    <row r="135" ht="30" customHeight="1">
      <c r="A135" s="89"/>
      <c r="B135" t="s" s="90">
        <v>438</v>
      </c>
      <c r="C135" t="s" s="91">
        <v>161</v>
      </c>
      <c r="D135" t="s" s="91">
        <v>35</v>
      </c>
      <c r="E135" t="s" s="91">
        <v>27</v>
      </c>
      <c r="F135" t="s" s="91">
        <v>20</v>
      </c>
      <c r="G135" t="s" s="91">
        <v>51</v>
      </c>
      <c r="H135" t="s" s="91">
        <v>104</v>
      </c>
      <c r="I135" t="s" s="91">
        <v>470</v>
      </c>
      <c r="J135" t="s" s="91">
        <v>163</v>
      </c>
      <c r="K135" t="s" s="92">
        <f>CONCATENATE(D135,".",E135,".",F135,".",G135,".",H135,".",I135,".",J135)</f>
        <v>471</v>
      </c>
      <c r="L135" t="s" s="93">
        <v>472</v>
      </c>
      <c r="M135" t="s" s="157">
        <v>446</v>
      </c>
      <c r="N135" s="95"/>
      <c r="O135" s="96"/>
      <c r="P135" s="97"/>
      <c r="Q135" s="97"/>
      <c r="R135" s="97"/>
      <c r="S135" s="99"/>
    </row>
    <row r="136" ht="30" customHeight="1">
      <c r="A136" s="89"/>
      <c r="B136" t="s" s="90">
        <v>438</v>
      </c>
      <c r="C136" t="s" s="91">
        <v>161</v>
      </c>
      <c r="D136" t="s" s="91">
        <v>35</v>
      </c>
      <c r="E136" t="s" s="91">
        <v>27</v>
      </c>
      <c r="F136" t="s" s="91">
        <v>20</v>
      </c>
      <c r="G136" t="s" s="91">
        <v>134</v>
      </c>
      <c r="H136" t="s" s="91">
        <v>104</v>
      </c>
      <c r="I136" t="s" s="91">
        <v>473</v>
      </c>
      <c r="J136" t="s" s="91">
        <v>163</v>
      </c>
      <c r="K136" t="s" s="92">
        <f>CONCATENATE(D136,".",E136,".",F136,".",G136,".",H136,".",I136,".",J136)</f>
        <v>474</v>
      </c>
      <c r="L136" t="s" s="93">
        <v>475</v>
      </c>
      <c r="M136" t="s" s="157">
        <v>446</v>
      </c>
      <c r="N136" s="95"/>
      <c r="O136" s="96"/>
      <c r="P136" s="97"/>
      <c r="Q136" s="97"/>
      <c r="R136" s="97"/>
      <c r="S136" s="99"/>
    </row>
    <row r="137" ht="30" customHeight="1">
      <c r="A137" s="89"/>
      <c r="B137" t="s" s="90">
        <v>438</v>
      </c>
      <c r="C137" t="s" s="91">
        <v>161</v>
      </c>
      <c r="D137" t="s" s="91">
        <v>35</v>
      </c>
      <c r="E137" t="s" s="91">
        <v>27</v>
      </c>
      <c r="F137" t="s" s="91">
        <v>20</v>
      </c>
      <c r="G137" t="s" s="91">
        <v>22</v>
      </c>
      <c r="H137" t="s" s="91">
        <v>110</v>
      </c>
      <c r="I137" t="s" s="91">
        <v>476</v>
      </c>
      <c r="J137" t="s" s="91">
        <v>163</v>
      </c>
      <c r="K137" t="s" s="92">
        <f>CONCATENATE(D137,".",E137,".",F137,".",G137,".",H137,".",I137,".",J137)</f>
        <v>477</v>
      </c>
      <c r="L137" t="s" s="93">
        <v>478</v>
      </c>
      <c r="M137" t="s" s="157">
        <v>446</v>
      </c>
      <c r="N137" s="95"/>
      <c r="O137" s="96"/>
      <c r="P137" s="97"/>
      <c r="Q137" s="97"/>
      <c r="R137" s="97"/>
      <c r="S137" s="99"/>
    </row>
    <row r="138" ht="30" customHeight="1">
      <c r="A138" s="89"/>
      <c r="B138" t="s" s="90">
        <v>438</v>
      </c>
      <c r="C138" t="s" s="91">
        <v>161</v>
      </c>
      <c r="D138" t="s" s="91">
        <v>35</v>
      </c>
      <c r="E138" t="s" s="91">
        <v>27</v>
      </c>
      <c r="F138" t="s" s="91">
        <v>20</v>
      </c>
      <c r="G138" t="s" s="91">
        <v>22</v>
      </c>
      <c r="H138" t="s" s="91">
        <v>110</v>
      </c>
      <c r="I138" t="s" s="91">
        <v>479</v>
      </c>
      <c r="J138" t="s" s="91">
        <v>163</v>
      </c>
      <c r="K138" t="s" s="92">
        <f>CONCATENATE(D138,".",E138,".",F138,".",G138,".",H138,".",I138,".",J138)</f>
        <v>480</v>
      </c>
      <c r="L138" t="s" s="93">
        <v>481</v>
      </c>
      <c r="M138" t="s" s="157">
        <v>446</v>
      </c>
      <c r="N138" s="95"/>
      <c r="O138" s="96"/>
      <c r="P138" s="97"/>
      <c r="Q138" s="97"/>
      <c r="R138" s="97"/>
      <c r="S138" s="99"/>
    </row>
    <row r="139" ht="30" customHeight="1">
      <c r="A139" s="89"/>
      <c r="B139" t="s" s="90">
        <v>438</v>
      </c>
      <c r="C139" t="s" s="91">
        <v>161</v>
      </c>
      <c r="D139" t="s" s="91">
        <v>35</v>
      </c>
      <c r="E139" t="s" s="91">
        <v>27</v>
      </c>
      <c r="F139" t="s" s="91">
        <v>20</v>
      </c>
      <c r="G139" t="s" s="91">
        <v>22</v>
      </c>
      <c r="H139" t="s" s="91">
        <v>107</v>
      </c>
      <c r="I139" t="s" s="91">
        <v>482</v>
      </c>
      <c r="J139" t="s" s="91">
        <v>163</v>
      </c>
      <c r="K139" t="s" s="92">
        <f>CONCATENATE(D139,".",E139,".",F139,".",G139,".",H139,".",I139,".",J139)</f>
        <v>483</v>
      </c>
      <c r="L139" t="s" s="93">
        <v>484</v>
      </c>
      <c r="M139" t="s" s="157">
        <v>446</v>
      </c>
      <c r="N139" s="95"/>
      <c r="O139" s="96"/>
      <c r="P139" s="97"/>
      <c r="Q139" s="97"/>
      <c r="R139" s="97"/>
      <c r="S139" s="99"/>
    </row>
    <row r="140" ht="30" customHeight="1">
      <c r="A140" s="89"/>
      <c r="B140" t="s" s="90">
        <v>438</v>
      </c>
      <c r="C140" t="s" s="91">
        <v>161</v>
      </c>
      <c r="D140" t="s" s="91">
        <v>35</v>
      </c>
      <c r="E140" t="s" s="91">
        <v>27</v>
      </c>
      <c r="F140" t="s" s="91">
        <v>20</v>
      </c>
      <c r="G140" t="s" s="91">
        <v>22</v>
      </c>
      <c r="H140" t="s" s="91">
        <v>107</v>
      </c>
      <c r="I140" t="s" s="91">
        <v>485</v>
      </c>
      <c r="J140" t="s" s="91">
        <v>163</v>
      </c>
      <c r="K140" t="s" s="92">
        <f>CONCATENATE(D140,".",E140,".",F140,".",G140,".",H140,".",I140,".",J140)</f>
        <v>486</v>
      </c>
      <c r="L140" t="s" s="93">
        <v>487</v>
      </c>
      <c r="M140" t="s" s="157">
        <v>446</v>
      </c>
      <c r="N140" s="95"/>
      <c r="O140" s="96"/>
      <c r="P140" s="97"/>
      <c r="Q140" s="97"/>
      <c r="R140" s="97"/>
      <c r="S140" s="99"/>
    </row>
    <row r="141" ht="30" customHeight="1">
      <c r="A141" s="89"/>
      <c r="B141" t="s" s="90">
        <v>438</v>
      </c>
      <c r="C141" t="s" s="91">
        <v>161</v>
      </c>
      <c r="D141" t="s" s="91">
        <v>35</v>
      </c>
      <c r="E141" t="s" s="91">
        <v>27</v>
      </c>
      <c r="F141" t="s" s="91">
        <v>20</v>
      </c>
      <c r="G141" t="s" s="91">
        <v>127</v>
      </c>
      <c r="H141" t="s" s="91">
        <v>104</v>
      </c>
      <c r="I141" t="s" s="91">
        <v>488</v>
      </c>
      <c r="J141" t="s" s="91">
        <v>163</v>
      </c>
      <c r="K141" t="s" s="92">
        <f>CONCATENATE(D141,".",E141,".",F141,".",G141,".",H141,".",I141,".",J141)</f>
        <v>489</v>
      </c>
      <c r="L141" t="s" s="93">
        <v>490</v>
      </c>
      <c r="M141" t="s" s="157">
        <v>446</v>
      </c>
      <c r="N141" s="95"/>
      <c r="O141" s="96"/>
      <c r="P141" s="97"/>
      <c r="Q141" s="97"/>
      <c r="R141" s="97"/>
      <c r="S141" s="99"/>
    </row>
    <row r="142" ht="30" customHeight="1">
      <c r="A142" s="89"/>
      <c r="B142" t="s" s="90">
        <v>438</v>
      </c>
      <c r="C142" t="s" s="91">
        <v>161</v>
      </c>
      <c r="D142" t="s" s="91">
        <v>35</v>
      </c>
      <c r="E142" t="s" s="91">
        <v>27</v>
      </c>
      <c r="F142" t="s" s="91">
        <v>20</v>
      </c>
      <c r="G142" t="s" s="91">
        <v>31</v>
      </c>
      <c r="H142" t="s" s="91">
        <v>104</v>
      </c>
      <c r="I142" t="s" s="91">
        <v>491</v>
      </c>
      <c r="J142" t="s" s="91">
        <v>163</v>
      </c>
      <c r="K142" t="s" s="92">
        <f>CONCATENATE(D142,".",E142,".",F142,".",G142,".",H142,".",I142,".",J142)</f>
        <v>492</v>
      </c>
      <c r="L142" t="s" s="93">
        <v>493</v>
      </c>
      <c r="M142" t="s" s="157">
        <v>446</v>
      </c>
      <c r="N142" s="95"/>
      <c r="O142" s="96"/>
      <c r="P142" s="97"/>
      <c r="Q142" s="97"/>
      <c r="R142" s="97"/>
      <c r="S142" s="99"/>
    </row>
    <row r="143" ht="30" customHeight="1">
      <c r="A143" s="89"/>
      <c r="B143" t="s" s="90">
        <v>438</v>
      </c>
      <c r="C143" t="s" s="91">
        <v>161</v>
      </c>
      <c r="D143" t="s" s="91">
        <v>35</v>
      </c>
      <c r="E143" t="s" s="91">
        <v>27</v>
      </c>
      <c r="F143" t="s" s="91">
        <v>20</v>
      </c>
      <c r="G143" t="s" s="91">
        <v>41</v>
      </c>
      <c r="H143" t="s" s="91">
        <v>104</v>
      </c>
      <c r="I143" t="s" s="91">
        <v>494</v>
      </c>
      <c r="J143" t="s" s="91">
        <v>163</v>
      </c>
      <c r="K143" t="s" s="92">
        <f>CONCATENATE(D143,".",E143,".",F143,".",G143,".",H143,".",I143,".",J143)</f>
        <v>495</v>
      </c>
      <c r="L143" t="s" s="93">
        <v>496</v>
      </c>
      <c r="M143" t="s" s="157">
        <v>446</v>
      </c>
      <c r="N143" s="95"/>
      <c r="O143" s="96"/>
      <c r="P143" s="97"/>
      <c r="Q143" s="97"/>
      <c r="R143" s="97"/>
      <c r="S143" s="99"/>
    </row>
    <row r="144" ht="30" customHeight="1">
      <c r="A144" s="89"/>
      <c r="B144" t="s" s="90">
        <v>438</v>
      </c>
      <c r="C144" t="s" s="91">
        <v>161</v>
      </c>
      <c r="D144" t="s" s="91">
        <v>35</v>
      </c>
      <c r="E144" t="s" s="91">
        <v>27</v>
      </c>
      <c r="F144" t="s" s="91">
        <v>20</v>
      </c>
      <c r="G144" t="s" s="91">
        <v>51</v>
      </c>
      <c r="H144" t="s" s="91">
        <v>104</v>
      </c>
      <c r="I144" t="s" s="91">
        <v>497</v>
      </c>
      <c r="J144" t="s" s="91">
        <v>163</v>
      </c>
      <c r="K144" t="s" s="92">
        <f>CONCATENATE(D144,".",E144,".",F144,".",G144,".",H144,".",I144,".",J144)</f>
        <v>498</v>
      </c>
      <c r="L144" t="s" s="93">
        <v>499</v>
      </c>
      <c r="M144" t="s" s="157">
        <v>446</v>
      </c>
      <c r="N144" s="95"/>
      <c r="O144" s="96"/>
      <c r="P144" s="97"/>
      <c r="Q144" s="97"/>
      <c r="R144" s="97"/>
      <c r="S144" s="99"/>
    </row>
    <row r="145" ht="30" customHeight="1">
      <c r="A145" s="89"/>
      <c r="B145" t="s" s="90">
        <v>438</v>
      </c>
      <c r="C145" t="s" s="91">
        <v>161</v>
      </c>
      <c r="D145" t="s" s="91">
        <v>35</v>
      </c>
      <c r="E145" t="s" s="91">
        <v>27</v>
      </c>
      <c r="F145" t="s" s="91">
        <v>20</v>
      </c>
      <c r="G145" t="s" s="91">
        <v>134</v>
      </c>
      <c r="H145" t="s" s="91">
        <v>104</v>
      </c>
      <c r="I145" t="s" s="91">
        <v>500</v>
      </c>
      <c r="J145" t="s" s="91">
        <v>163</v>
      </c>
      <c r="K145" t="s" s="92">
        <f>CONCATENATE(D145,".",E145,".",F145,".",G145,".",H145,".",I145,".",J145)</f>
        <v>501</v>
      </c>
      <c r="L145" t="s" s="93">
        <v>502</v>
      </c>
      <c r="M145" t="s" s="157">
        <v>446</v>
      </c>
      <c r="N145" s="95"/>
      <c r="O145" s="96"/>
      <c r="P145" s="97"/>
      <c r="Q145" s="97"/>
      <c r="R145" s="97"/>
      <c r="S145" s="99"/>
    </row>
    <row r="146" ht="30" customHeight="1">
      <c r="A146" s="89"/>
      <c r="B146" t="s" s="90">
        <v>438</v>
      </c>
      <c r="C146" t="s" s="91">
        <v>161</v>
      </c>
      <c r="D146" t="s" s="91">
        <v>35</v>
      </c>
      <c r="E146" t="s" s="91">
        <v>27</v>
      </c>
      <c r="F146" t="s" s="91">
        <v>20</v>
      </c>
      <c r="G146" t="s" s="91">
        <v>127</v>
      </c>
      <c r="H146" t="s" s="91">
        <v>104</v>
      </c>
      <c r="I146" t="s" s="91">
        <v>503</v>
      </c>
      <c r="J146" t="s" s="91">
        <v>163</v>
      </c>
      <c r="K146" t="s" s="92">
        <f>CONCATENATE(D146,".",E146,".",F146,".",G146,".",H146,".",I146,".",J146)</f>
        <v>504</v>
      </c>
      <c r="L146" t="s" s="93">
        <v>505</v>
      </c>
      <c r="M146" t="s" s="157">
        <v>446</v>
      </c>
      <c r="N146" s="95"/>
      <c r="O146" s="96"/>
      <c r="P146" s="97"/>
      <c r="Q146" s="97"/>
      <c r="R146" s="97"/>
      <c r="S146" s="99"/>
    </row>
    <row r="147" ht="30" customHeight="1">
      <c r="A147" s="89"/>
      <c r="B147" t="s" s="90">
        <v>438</v>
      </c>
      <c r="C147" t="s" s="91">
        <v>161</v>
      </c>
      <c r="D147" t="s" s="91">
        <v>35</v>
      </c>
      <c r="E147" t="s" s="91">
        <v>27</v>
      </c>
      <c r="F147" t="s" s="91">
        <v>20</v>
      </c>
      <c r="G147" t="s" s="91">
        <v>31</v>
      </c>
      <c r="H147" t="s" s="91">
        <v>104</v>
      </c>
      <c r="I147" t="s" s="91">
        <v>506</v>
      </c>
      <c r="J147" t="s" s="91">
        <v>163</v>
      </c>
      <c r="K147" t="s" s="92">
        <f>CONCATENATE(D147,".",E147,".",F147,".",G147,".",H147,".",I147,".",J147)</f>
        <v>507</v>
      </c>
      <c r="L147" t="s" s="93">
        <v>508</v>
      </c>
      <c r="M147" t="s" s="157">
        <v>446</v>
      </c>
      <c r="N147" s="95"/>
      <c r="O147" s="96"/>
      <c r="P147" s="97"/>
      <c r="Q147" s="97"/>
      <c r="R147" s="97"/>
      <c r="S147" s="99"/>
    </row>
    <row r="148" ht="30" customHeight="1">
      <c r="A148" s="89"/>
      <c r="B148" t="s" s="90">
        <v>438</v>
      </c>
      <c r="C148" t="s" s="91">
        <v>161</v>
      </c>
      <c r="D148" t="s" s="91">
        <v>35</v>
      </c>
      <c r="E148" t="s" s="91">
        <v>27</v>
      </c>
      <c r="F148" t="s" s="91">
        <v>20</v>
      </c>
      <c r="G148" t="s" s="91">
        <v>41</v>
      </c>
      <c r="H148" t="s" s="91">
        <v>104</v>
      </c>
      <c r="I148" t="s" s="91">
        <v>509</v>
      </c>
      <c r="J148" t="s" s="91">
        <v>163</v>
      </c>
      <c r="K148" t="s" s="92">
        <f>CONCATENATE(D148,".",E148,".",F148,".",G148,".",H148,".",I148,".",J148)</f>
        <v>510</v>
      </c>
      <c r="L148" t="s" s="93">
        <v>511</v>
      </c>
      <c r="M148" t="s" s="157">
        <v>446</v>
      </c>
      <c r="N148" s="95"/>
      <c r="O148" s="96"/>
      <c r="P148" s="97"/>
      <c r="Q148" s="97"/>
      <c r="R148" s="97"/>
      <c r="S148" s="99"/>
    </row>
    <row r="149" ht="30" customHeight="1">
      <c r="A149" s="89"/>
      <c r="B149" t="s" s="90">
        <v>438</v>
      </c>
      <c r="C149" t="s" s="91">
        <v>161</v>
      </c>
      <c r="D149" t="s" s="91">
        <v>35</v>
      </c>
      <c r="E149" t="s" s="91">
        <v>27</v>
      </c>
      <c r="F149" t="s" s="91">
        <v>20</v>
      </c>
      <c r="G149" t="s" s="91">
        <v>51</v>
      </c>
      <c r="H149" t="s" s="91">
        <v>104</v>
      </c>
      <c r="I149" t="s" s="91">
        <v>512</v>
      </c>
      <c r="J149" t="s" s="91">
        <v>163</v>
      </c>
      <c r="K149" t="s" s="92">
        <f>CONCATENATE(D149,".",E149,".",F149,".",G149,".",H149,".",I149,".",J149)</f>
        <v>513</v>
      </c>
      <c r="L149" t="s" s="93">
        <v>514</v>
      </c>
      <c r="M149" t="s" s="157">
        <v>446</v>
      </c>
      <c r="N149" s="95"/>
      <c r="O149" s="96"/>
      <c r="P149" s="97"/>
      <c r="Q149" s="97"/>
      <c r="R149" s="97"/>
      <c r="S149" s="99"/>
    </row>
    <row r="150" ht="30" customHeight="1">
      <c r="A150" s="89"/>
      <c r="B150" t="s" s="90">
        <v>438</v>
      </c>
      <c r="C150" t="s" s="91">
        <v>161</v>
      </c>
      <c r="D150" t="s" s="91">
        <v>35</v>
      </c>
      <c r="E150" t="s" s="91">
        <v>27</v>
      </c>
      <c r="F150" t="s" s="91">
        <v>20</v>
      </c>
      <c r="G150" t="s" s="91">
        <v>127</v>
      </c>
      <c r="H150" t="s" s="91">
        <v>104</v>
      </c>
      <c r="I150" t="s" s="91">
        <v>515</v>
      </c>
      <c r="J150" t="s" s="91">
        <v>163</v>
      </c>
      <c r="K150" t="s" s="92">
        <f>CONCATENATE(D150,".",E150,".",F150,".",G150,".",H150,".",I150,".",J150)</f>
        <v>516</v>
      </c>
      <c r="L150" t="s" s="93">
        <v>517</v>
      </c>
      <c r="M150" t="s" s="157">
        <v>446</v>
      </c>
      <c r="N150" s="95"/>
      <c r="O150" s="96"/>
      <c r="P150" s="97"/>
      <c r="Q150" s="97"/>
      <c r="R150" s="97"/>
      <c r="S150" s="99"/>
    </row>
    <row r="151" ht="30" customHeight="1">
      <c r="A151" s="89"/>
      <c r="B151" t="s" s="90">
        <v>438</v>
      </c>
      <c r="C151" t="s" s="91">
        <v>161</v>
      </c>
      <c r="D151" t="s" s="91">
        <v>35</v>
      </c>
      <c r="E151" t="s" s="91">
        <v>27</v>
      </c>
      <c r="F151" t="s" s="91">
        <v>20</v>
      </c>
      <c r="G151" t="s" s="91">
        <v>31</v>
      </c>
      <c r="H151" t="s" s="91">
        <v>104</v>
      </c>
      <c r="I151" t="s" s="91">
        <v>518</v>
      </c>
      <c r="J151" t="s" s="91">
        <v>163</v>
      </c>
      <c r="K151" t="s" s="92">
        <f>CONCATENATE(D151,".",E151,".",F151,".",G151,".",H151,".",I151,".",J151)</f>
        <v>519</v>
      </c>
      <c r="L151" t="s" s="93">
        <v>520</v>
      </c>
      <c r="M151" t="s" s="157">
        <v>446</v>
      </c>
      <c r="N151" s="95"/>
      <c r="O151" s="96"/>
      <c r="P151" s="97"/>
      <c r="Q151" s="97"/>
      <c r="R151" s="97"/>
      <c r="S151" s="99"/>
    </row>
    <row r="152" ht="30" customHeight="1">
      <c r="A152" s="89"/>
      <c r="B152" t="s" s="90">
        <v>438</v>
      </c>
      <c r="C152" t="s" s="91">
        <v>161</v>
      </c>
      <c r="D152" t="s" s="91">
        <v>35</v>
      </c>
      <c r="E152" t="s" s="91">
        <v>27</v>
      </c>
      <c r="F152" t="s" s="91">
        <v>20</v>
      </c>
      <c r="G152" t="s" s="91">
        <v>41</v>
      </c>
      <c r="H152" t="s" s="91">
        <v>104</v>
      </c>
      <c r="I152" t="s" s="91">
        <v>521</v>
      </c>
      <c r="J152" t="s" s="91">
        <v>163</v>
      </c>
      <c r="K152" t="s" s="92">
        <f>CONCATENATE(D152,".",E152,".",F152,".",G152,".",H152,".",I152,".",J152)</f>
        <v>522</v>
      </c>
      <c r="L152" t="s" s="93">
        <v>523</v>
      </c>
      <c r="M152" t="s" s="157">
        <v>446</v>
      </c>
      <c r="N152" s="95"/>
      <c r="O152" s="96"/>
      <c r="P152" s="97"/>
      <c r="Q152" s="97"/>
      <c r="R152" s="97"/>
      <c r="S152" s="99"/>
    </row>
    <row r="153" ht="30" customHeight="1">
      <c r="A153" s="89"/>
      <c r="B153" t="s" s="90">
        <v>438</v>
      </c>
      <c r="C153" t="s" s="91">
        <v>161</v>
      </c>
      <c r="D153" t="s" s="91">
        <v>35</v>
      </c>
      <c r="E153" t="s" s="91">
        <v>27</v>
      </c>
      <c r="F153" t="s" s="91">
        <v>20</v>
      </c>
      <c r="G153" t="s" s="91">
        <v>51</v>
      </c>
      <c r="H153" t="s" s="91">
        <v>104</v>
      </c>
      <c r="I153" t="s" s="91">
        <v>524</v>
      </c>
      <c r="J153" t="s" s="91">
        <v>163</v>
      </c>
      <c r="K153" t="s" s="92">
        <f>CONCATENATE(D153,".",E153,".",F153,".",G153,".",H153,".",I153,".",J153)</f>
        <v>525</v>
      </c>
      <c r="L153" t="s" s="93">
        <v>526</v>
      </c>
      <c r="M153" t="s" s="157">
        <v>446</v>
      </c>
      <c r="N153" s="95"/>
      <c r="O153" s="96"/>
      <c r="P153" s="97"/>
      <c r="Q153" s="97"/>
      <c r="R153" s="97"/>
      <c r="S153" s="99"/>
    </row>
    <row r="154" ht="30" customHeight="1">
      <c r="A154" s="89"/>
      <c r="B154" t="s" s="90">
        <v>438</v>
      </c>
      <c r="C154" t="s" s="91">
        <v>161</v>
      </c>
      <c r="D154" t="s" s="91">
        <v>35</v>
      </c>
      <c r="E154" t="s" s="91">
        <v>27</v>
      </c>
      <c r="F154" t="s" s="91">
        <v>20</v>
      </c>
      <c r="G154" t="s" s="91">
        <v>22</v>
      </c>
      <c r="H154" t="s" s="91">
        <v>113</v>
      </c>
      <c r="I154" t="s" s="91">
        <v>527</v>
      </c>
      <c r="J154" t="s" s="91">
        <v>163</v>
      </c>
      <c r="K154" t="s" s="92">
        <f>CONCATENATE(D154,".",E154,".",F154,".",G154,".",H154,".",I154,".",J154)</f>
        <v>528</v>
      </c>
      <c r="L154" t="s" s="93">
        <v>529</v>
      </c>
      <c r="M154" t="s" s="157">
        <v>530</v>
      </c>
      <c r="N154" s="95"/>
      <c r="O154" s="96"/>
      <c r="P154" s="97"/>
      <c r="Q154" s="97"/>
      <c r="R154" s="97"/>
      <c r="S154" s="99"/>
    </row>
    <row r="155" ht="30" customHeight="1">
      <c r="A155" s="89"/>
      <c r="B155" t="s" s="90">
        <v>438</v>
      </c>
      <c r="C155" t="s" s="91">
        <v>161</v>
      </c>
      <c r="D155" t="s" s="91">
        <v>35</v>
      </c>
      <c r="E155" t="s" s="91">
        <v>27</v>
      </c>
      <c r="F155" t="s" s="91">
        <v>20</v>
      </c>
      <c r="G155" t="s" s="91">
        <v>22</v>
      </c>
      <c r="H155" t="s" s="91">
        <v>113</v>
      </c>
      <c r="I155" t="s" s="91">
        <v>531</v>
      </c>
      <c r="J155" t="s" s="91">
        <v>163</v>
      </c>
      <c r="K155" t="s" s="92">
        <f>CONCATENATE(D155,".",E155,".",F155,".",G155,".",H155,".",I155,".",J155)</f>
        <v>532</v>
      </c>
      <c r="L155" t="s" s="93">
        <v>533</v>
      </c>
      <c r="M155" t="s" s="157">
        <v>530</v>
      </c>
      <c r="N155" s="95"/>
      <c r="O155" s="96"/>
      <c r="P155" s="97"/>
      <c r="Q155" s="97"/>
      <c r="R155" s="97"/>
      <c r="S155" s="99"/>
    </row>
    <row r="156" ht="30" customHeight="1">
      <c r="A156" s="89"/>
      <c r="B156" t="s" s="90">
        <v>438</v>
      </c>
      <c r="C156" t="s" s="91">
        <v>161</v>
      </c>
      <c r="D156" t="s" s="91">
        <v>35</v>
      </c>
      <c r="E156" t="s" s="91">
        <v>27</v>
      </c>
      <c r="F156" t="s" s="91">
        <v>20</v>
      </c>
      <c r="G156" t="s" s="91">
        <v>22</v>
      </c>
      <c r="H156" t="s" s="91">
        <v>104</v>
      </c>
      <c r="I156" t="s" s="91">
        <v>534</v>
      </c>
      <c r="J156" t="s" s="91">
        <v>163</v>
      </c>
      <c r="K156" t="s" s="92">
        <f>CONCATENATE(D156,".",E156,".",F156,".",G156,".",H156,".",I156,".",J156)</f>
        <v>535</v>
      </c>
      <c r="L156" t="s" s="93">
        <v>536</v>
      </c>
      <c r="M156" t="s" s="157">
        <v>530</v>
      </c>
      <c r="N156" s="95"/>
      <c r="O156" s="96"/>
      <c r="P156" s="97"/>
      <c r="Q156" s="97"/>
      <c r="R156" s="97"/>
      <c r="S156" s="99"/>
    </row>
    <row r="157" ht="30" customHeight="1">
      <c r="A157" s="100"/>
      <c r="B157" t="s" s="90">
        <v>438</v>
      </c>
      <c r="C157" t="s" s="91">
        <v>161</v>
      </c>
      <c r="D157" t="s" s="91">
        <v>35</v>
      </c>
      <c r="E157" t="s" s="91">
        <v>27</v>
      </c>
      <c r="F157" t="s" s="91">
        <v>20</v>
      </c>
      <c r="G157" t="s" s="91">
        <v>22</v>
      </c>
      <c r="H157" t="s" s="91">
        <v>104</v>
      </c>
      <c r="I157" t="s" s="91">
        <v>537</v>
      </c>
      <c r="J157" t="s" s="91">
        <v>163</v>
      </c>
      <c r="K157" t="s" s="92">
        <f>CONCATENATE(D157,".",E157,".",F157,".",G157,".",H157,".",I157,".",J157)</f>
        <v>538</v>
      </c>
      <c r="L157" t="s" s="93">
        <v>539</v>
      </c>
      <c r="M157" t="s" s="157">
        <v>530</v>
      </c>
      <c r="N157" s="95"/>
      <c r="O157" s="121"/>
      <c r="P157" s="122"/>
      <c r="Q157" s="122"/>
      <c r="R157" s="122"/>
      <c r="S157" s="123"/>
    </row>
    <row r="158" ht="30" customHeight="1">
      <c r="A158" t="s" s="124">
        <v>540</v>
      </c>
      <c r="B158" s="112"/>
      <c r="C158" s="112"/>
      <c r="D158" s="112"/>
      <c r="E158" s="112"/>
      <c r="F158" s="112"/>
      <c r="G158" s="112"/>
      <c r="H158" s="112"/>
      <c r="I158" s="112"/>
      <c r="J158" s="112"/>
      <c r="K158" s="112"/>
      <c r="L158" s="112"/>
      <c r="M158" s="113"/>
      <c r="N158" s="114"/>
      <c r="O158" s="115"/>
      <c r="P158" s="116"/>
      <c r="Q158" s="116"/>
      <c r="R158" s="116"/>
      <c r="S158" s="117"/>
    </row>
    <row r="159" ht="30" customHeight="1">
      <c r="A159" s="89"/>
      <c r="B159" t="s" s="90">
        <v>540</v>
      </c>
      <c r="C159" t="s" s="91">
        <v>161</v>
      </c>
      <c r="D159" t="s" s="91">
        <v>35</v>
      </c>
      <c r="E159" t="s" s="91">
        <v>37</v>
      </c>
      <c r="F159" t="s" s="91">
        <v>20</v>
      </c>
      <c r="G159" t="s" s="91">
        <v>22</v>
      </c>
      <c r="H159" t="s" s="91">
        <v>23</v>
      </c>
      <c r="I159" t="s" s="91">
        <v>240</v>
      </c>
      <c r="J159" t="s" s="91">
        <v>163</v>
      </c>
      <c r="K159" t="s" s="92">
        <f>CONCATENATE(D159,".",E159,".",F159,".",G159,".",H159,".",I159,".",J159)</f>
        <v>541</v>
      </c>
      <c r="L159" t="s" s="93">
        <v>542</v>
      </c>
      <c r="M159" t="s" s="94">
        <v>166</v>
      </c>
      <c r="N159" s="95"/>
      <c r="O159" s="118"/>
      <c r="P159" s="119"/>
      <c r="Q159" s="119"/>
      <c r="R159" s="119"/>
      <c r="S159" s="125"/>
    </row>
    <row r="160" ht="30" customHeight="1">
      <c r="A160" s="89"/>
      <c r="B160" t="s" s="90">
        <v>540</v>
      </c>
      <c r="C160" t="s" s="91">
        <v>161</v>
      </c>
      <c r="D160" t="s" s="91">
        <v>35</v>
      </c>
      <c r="E160" t="s" s="91">
        <v>37</v>
      </c>
      <c r="F160" t="s" s="91">
        <v>20</v>
      </c>
      <c r="G160" t="s" s="91">
        <v>22</v>
      </c>
      <c r="H160" t="s" s="91">
        <v>104</v>
      </c>
      <c r="I160" t="s" s="91">
        <v>243</v>
      </c>
      <c r="J160" t="s" s="91">
        <v>163</v>
      </c>
      <c r="K160" t="s" s="92">
        <f>CONCATENATE(D160,".",E160,".",F160,".",G160,".",H160,".",I160,".",J160)</f>
        <v>543</v>
      </c>
      <c r="L160" t="s" s="93">
        <v>544</v>
      </c>
      <c r="M160" t="s" s="94">
        <v>166</v>
      </c>
      <c r="N160" s="95"/>
      <c r="O160" s="96"/>
      <c r="P160" s="97"/>
      <c r="Q160" s="97"/>
      <c r="R160" s="97"/>
      <c r="S160" s="99"/>
    </row>
    <row r="161" ht="30" customHeight="1">
      <c r="A161" s="89"/>
      <c r="B161" t="s" s="90">
        <v>540</v>
      </c>
      <c r="C161" t="s" s="91">
        <v>161</v>
      </c>
      <c r="D161" t="s" s="91">
        <v>35</v>
      </c>
      <c r="E161" t="s" s="91">
        <v>37</v>
      </c>
      <c r="F161" t="s" s="91">
        <v>20</v>
      </c>
      <c r="G161" t="s" s="91">
        <v>22</v>
      </c>
      <c r="H161" t="s" s="91">
        <v>104</v>
      </c>
      <c r="I161" t="s" s="91">
        <v>246</v>
      </c>
      <c r="J161" t="s" s="91">
        <v>163</v>
      </c>
      <c r="K161" t="s" s="92">
        <f>CONCATENATE(D161,".",E161,".",F161,".",G161,".",H161,".",I161,".",J161)</f>
        <v>545</v>
      </c>
      <c r="L161" t="s" s="93">
        <v>546</v>
      </c>
      <c r="M161" t="s" s="94">
        <v>326</v>
      </c>
      <c r="N161" s="95"/>
      <c r="O161" s="96"/>
      <c r="P161" s="97"/>
      <c r="Q161" s="97"/>
      <c r="R161" s="97"/>
      <c r="S161" s="99"/>
    </row>
    <row r="162" ht="30" customHeight="1">
      <c r="A162" s="89"/>
      <c r="B162" t="s" s="90">
        <v>540</v>
      </c>
      <c r="C162" t="s" s="91">
        <v>161</v>
      </c>
      <c r="D162" t="s" s="91">
        <v>35</v>
      </c>
      <c r="E162" t="s" s="91">
        <v>37</v>
      </c>
      <c r="F162" t="s" s="91">
        <v>20</v>
      </c>
      <c r="G162" t="s" s="91">
        <v>22</v>
      </c>
      <c r="H162" t="s" s="91">
        <v>104</v>
      </c>
      <c r="I162" t="s" s="91">
        <v>249</v>
      </c>
      <c r="J162" t="s" s="91">
        <v>163</v>
      </c>
      <c r="K162" t="s" s="92">
        <f>CONCATENATE(D162,".",E162,".",F162,".",G162,".",H162,".",I162,".",J162)</f>
        <v>547</v>
      </c>
      <c r="L162" t="s" s="93">
        <v>548</v>
      </c>
      <c r="M162" t="s" s="94">
        <v>446</v>
      </c>
      <c r="N162" s="95"/>
      <c r="O162" s="96"/>
      <c r="P162" s="97"/>
      <c r="Q162" s="97"/>
      <c r="R162" s="97"/>
      <c r="S162" s="99"/>
    </row>
    <row r="163" ht="30" customHeight="1">
      <c r="A163" s="89"/>
      <c r="B163" t="s" s="90">
        <v>540</v>
      </c>
      <c r="C163" t="s" s="91">
        <v>161</v>
      </c>
      <c r="D163" t="s" s="91">
        <v>35</v>
      </c>
      <c r="E163" t="s" s="91">
        <v>37</v>
      </c>
      <c r="F163" t="s" s="91">
        <v>20</v>
      </c>
      <c r="G163" t="s" s="91">
        <v>22</v>
      </c>
      <c r="H163" t="s" s="91">
        <v>104</v>
      </c>
      <c r="I163" t="s" s="91">
        <v>252</v>
      </c>
      <c r="J163" t="s" s="91">
        <v>163</v>
      </c>
      <c r="K163" t="s" s="92">
        <f>CONCATENATE(D163,".",E163,".",F163,".",G163,".",H163,".",I163,".",J163)</f>
        <v>549</v>
      </c>
      <c r="L163" t="s" s="93">
        <v>550</v>
      </c>
      <c r="M163" t="s" s="94">
        <v>446</v>
      </c>
      <c r="N163" s="95"/>
      <c r="O163" s="96"/>
      <c r="P163" s="97"/>
      <c r="Q163" s="97"/>
      <c r="R163" s="97"/>
      <c r="S163" s="99"/>
    </row>
    <row r="164" ht="30" customHeight="1">
      <c r="A164" s="89"/>
      <c r="B164" t="s" s="90">
        <v>540</v>
      </c>
      <c r="C164" t="s" s="91">
        <v>161</v>
      </c>
      <c r="D164" t="s" s="91">
        <v>35</v>
      </c>
      <c r="E164" t="s" s="91">
        <v>37</v>
      </c>
      <c r="F164" t="s" s="91">
        <v>20</v>
      </c>
      <c r="G164" t="s" s="91">
        <v>22</v>
      </c>
      <c r="H164" t="s" s="91">
        <v>104</v>
      </c>
      <c r="I164" t="s" s="91">
        <v>255</v>
      </c>
      <c r="J164" t="s" s="91">
        <v>163</v>
      </c>
      <c r="K164" t="s" s="92">
        <f>CONCATENATE(D164,".",E164,".",F164,".",G164,".",H164,".",I164,".",J164)</f>
        <v>551</v>
      </c>
      <c r="L164" t="s" s="93">
        <v>552</v>
      </c>
      <c r="M164" t="s" s="94">
        <v>446</v>
      </c>
      <c r="N164" s="95"/>
      <c r="O164" s="96"/>
      <c r="P164" s="97"/>
      <c r="Q164" s="97"/>
      <c r="R164" s="97"/>
      <c r="S164" s="99"/>
    </row>
    <row r="165" ht="30" customHeight="1">
      <c r="A165" s="89"/>
      <c r="B165" t="s" s="90">
        <v>540</v>
      </c>
      <c r="C165" t="s" s="91">
        <v>161</v>
      </c>
      <c r="D165" t="s" s="91">
        <v>35</v>
      </c>
      <c r="E165" t="s" s="91">
        <v>37</v>
      </c>
      <c r="F165" t="s" s="91">
        <v>20</v>
      </c>
      <c r="G165" t="s" s="91">
        <v>22</v>
      </c>
      <c r="H165" t="s" s="91">
        <v>104</v>
      </c>
      <c r="I165" t="s" s="91">
        <v>258</v>
      </c>
      <c r="J165" t="s" s="91">
        <v>163</v>
      </c>
      <c r="K165" t="s" s="92">
        <f>CONCATENATE(D165,".",E165,".",F165,".",G165,".",H165,".",I165,".",J165)</f>
        <v>553</v>
      </c>
      <c r="L165" t="s" s="93">
        <v>554</v>
      </c>
      <c r="M165" t="s" s="94">
        <v>446</v>
      </c>
      <c r="N165" s="95"/>
      <c r="O165" s="96"/>
      <c r="P165" s="97"/>
      <c r="Q165" s="97"/>
      <c r="R165" s="97"/>
      <c r="S165" s="99"/>
    </row>
    <row r="166" ht="30" customHeight="1">
      <c r="A166" s="89"/>
      <c r="B166" t="s" s="90">
        <v>540</v>
      </c>
      <c r="C166" t="s" s="91">
        <v>161</v>
      </c>
      <c r="D166" t="s" s="91">
        <v>35</v>
      </c>
      <c r="E166" t="s" s="91">
        <v>37</v>
      </c>
      <c r="F166" t="s" s="91">
        <v>20</v>
      </c>
      <c r="G166" t="s" s="91">
        <v>22</v>
      </c>
      <c r="H166" t="s" s="91">
        <v>104</v>
      </c>
      <c r="I166" t="s" s="91">
        <v>261</v>
      </c>
      <c r="J166" t="s" s="91">
        <v>163</v>
      </c>
      <c r="K166" t="s" s="92">
        <f>CONCATENATE(D166,".",E166,".",F166,".",G166,".",H166,".",I166,".",J166)</f>
        <v>555</v>
      </c>
      <c r="L166" t="s" s="93">
        <v>556</v>
      </c>
      <c r="M166" t="s" s="94">
        <v>446</v>
      </c>
      <c r="N166" s="95"/>
      <c r="O166" s="96"/>
      <c r="P166" s="97"/>
      <c r="Q166" s="97"/>
      <c r="R166" s="97"/>
      <c r="S166" s="99"/>
    </row>
    <row r="167" ht="30" customHeight="1">
      <c r="A167" s="89"/>
      <c r="B167" t="s" s="90">
        <v>540</v>
      </c>
      <c r="C167" t="s" s="91">
        <v>161</v>
      </c>
      <c r="D167" t="s" s="91">
        <v>35</v>
      </c>
      <c r="E167" t="s" s="91">
        <v>37</v>
      </c>
      <c r="F167" t="s" s="91">
        <v>20</v>
      </c>
      <c r="G167" t="s" s="91">
        <v>22</v>
      </c>
      <c r="H167" t="s" s="91">
        <v>104</v>
      </c>
      <c r="I167" t="s" s="91">
        <v>264</v>
      </c>
      <c r="J167" t="s" s="91">
        <v>163</v>
      </c>
      <c r="K167" t="s" s="92">
        <f>CONCATENATE(D167,".",E167,".",F167,".",G167,".",H167,".",I167,".",J167)</f>
        <v>557</v>
      </c>
      <c r="L167" t="s" s="93">
        <v>558</v>
      </c>
      <c r="M167" t="s" s="94">
        <v>446</v>
      </c>
      <c r="N167" s="95"/>
      <c r="O167" s="96"/>
      <c r="P167" s="97"/>
      <c r="Q167" s="97"/>
      <c r="R167" s="97"/>
      <c r="S167" s="99"/>
    </row>
    <row r="168" ht="30" customHeight="1">
      <c r="A168" s="89"/>
      <c r="B168" t="s" s="90">
        <v>540</v>
      </c>
      <c r="C168" t="s" s="91">
        <v>161</v>
      </c>
      <c r="D168" t="s" s="91">
        <v>35</v>
      </c>
      <c r="E168" t="s" s="91">
        <v>37</v>
      </c>
      <c r="F168" t="s" s="91">
        <v>20</v>
      </c>
      <c r="G168" t="s" s="91">
        <v>22</v>
      </c>
      <c r="H168" t="s" s="91">
        <v>104</v>
      </c>
      <c r="I168" t="s" s="91">
        <v>267</v>
      </c>
      <c r="J168" t="s" s="91">
        <v>163</v>
      </c>
      <c r="K168" t="s" s="92">
        <f>CONCATENATE(D168,".",E168,".",F168,".",G168,".",H168,".",I168,".",J168)</f>
        <v>559</v>
      </c>
      <c r="L168" t="s" s="93">
        <v>560</v>
      </c>
      <c r="M168" t="s" s="94">
        <v>446</v>
      </c>
      <c r="N168" s="95"/>
      <c r="O168" s="96"/>
      <c r="P168" s="97"/>
      <c r="Q168" s="97"/>
      <c r="R168" s="97"/>
      <c r="S168" s="99"/>
    </row>
    <row r="169" ht="30" customHeight="1">
      <c r="A169" s="89"/>
      <c r="B169" t="s" s="90">
        <v>540</v>
      </c>
      <c r="C169" t="s" s="91">
        <v>161</v>
      </c>
      <c r="D169" t="s" s="91">
        <v>35</v>
      </c>
      <c r="E169" t="s" s="91">
        <v>37</v>
      </c>
      <c r="F169" t="s" s="91">
        <v>20</v>
      </c>
      <c r="G169" t="s" s="91">
        <v>22</v>
      </c>
      <c r="H169" t="s" s="91">
        <v>104</v>
      </c>
      <c r="I169" t="s" s="91">
        <v>270</v>
      </c>
      <c r="J169" t="s" s="91">
        <v>163</v>
      </c>
      <c r="K169" t="s" s="92">
        <f>CONCATENATE(D169,".",E169,".",F169,".",G169,".",H169,".",I169,".",J169)</f>
        <v>561</v>
      </c>
      <c r="L169" t="s" s="93">
        <v>562</v>
      </c>
      <c r="M169" t="s" s="94">
        <v>446</v>
      </c>
      <c r="N169" s="95"/>
      <c r="O169" s="96"/>
      <c r="P169" s="97"/>
      <c r="Q169" s="97"/>
      <c r="R169" s="97"/>
      <c r="S169" s="99"/>
    </row>
    <row r="170" ht="30" customHeight="1">
      <c r="A170" s="89"/>
      <c r="B170" t="s" s="90">
        <v>540</v>
      </c>
      <c r="C170" t="s" s="91">
        <v>161</v>
      </c>
      <c r="D170" t="s" s="91">
        <v>35</v>
      </c>
      <c r="E170" t="s" s="91">
        <v>37</v>
      </c>
      <c r="F170" t="s" s="91">
        <v>20</v>
      </c>
      <c r="G170" t="s" s="91">
        <v>22</v>
      </c>
      <c r="H170" t="s" s="91">
        <v>107</v>
      </c>
      <c r="I170" t="s" s="91">
        <v>273</v>
      </c>
      <c r="J170" t="s" s="91">
        <v>163</v>
      </c>
      <c r="K170" t="s" s="92">
        <f>CONCATENATE(D170,".",E170,".",F170,".",G170,".",H170,".",I170,".",J170)</f>
        <v>563</v>
      </c>
      <c r="L170" t="s" s="93">
        <v>564</v>
      </c>
      <c r="M170" t="s" s="94">
        <v>446</v>
      </c>
      <c r="N170" s="95"/>
      <c r="O170" s="96"/>
      <c r="P170" s="97"/>
      <c r="Q170" s="97"/>
      <c r="R170" s="97"/>
      <c r="S170" s="99"/>
    </row>
    <row r="171" ht="30" customHeight="1">
      <c r="A171" s="89"/>
      <c r="B171" t="s" s="90">
        <v>540</v>
      </c>
      <c r="C171" t="s" s="91">
        <v>161</v>
      </c>
      <c r="D171" t="s" s="91">
        <v>35</v>
      </c>
      <c r="E171" t="s" s="91">
        <v>37</v>
      </c>
      <c r="F171" t="s" s="91">
        <v>20</v>
      </c>
      <c r="G171" t="s" s="91">
        <v>22</v>
      </c>
      <c r="H171" t="s" s="91">
        <v>107</v>
      </c>
      <c r="I171" t="s" s="91">
        <v>276</v>
      </c>
      <c r="J171" t="s" s="91">
        <v>163</v>
      </c>
      <c r="K171" t="s" s="92">
        <f>CONCATENATE(D171,".",E171,".",F171,".",G171,".",H171,".",I171,".",J171)</f>
        <v>565</v>
      </c>
      <c r="L171" t="s" s="93">
        <v>566</v>
      </c>
      <c r="M171" t="s" s="94">
        <v>446</v>
      </c>
      <c r="N171" s="95"/>
      <c r="O171" s="96"/>
      <c r="P171" s="97"/>
      <c r="Q171" s="97"/>
      <c r="R171" s="97"/>
      <c r="S171" s="99"/>
    </row>
    <row r="172" ht="30" customHeight="1">
      <c r="A172" s="89"/>
      <c r="B172" t="s" s="90">
        <v>540</v>
      </c>
      <c r="C172" t="s" s="91">
        <v>161</v>
      </c>
      <c r="D172" t="s" s="91">
        <v>35</v>
      </c>
      <c r="E172" t="s" s="91">
        <v>37</v>
      </c>
      <c r="F172" t="s" s="91">
        <v>20</v>
      </c>
      <c r="G172" t="s" s="91">
        <v>22</v>
      </c>
      <c r="H172" t="s" s="91">
        <v>116</v>
      </c>
      <c r="I172" t="s" s="91">
        <v>567</v>
      </c>
      <c r="J172" t="s" s="91">
        <v>163</v>
      </c>
      <c r="K172" t="s" s="92">
        <f>CONCATENATE(D172,".",E172,".",F172,".",G172,".",H172,".",I172,".",J172)</f>
        <v>568</v>
      </c>
      <c r="L172" t="s" s="93">
        <v>569</v>
      </c>
      <c r="M172" t="s" s="94">
        <v>570</v>
      </c>
      <c r="N172" s="95"/>
      <c r="O172" s="96"/>
      <c r="P172" s="97"/>
      <c r="Q172" s="97"/>
      <c r="R172" s="97"/>
      <c r="S172" s="99"/>
    </row>
    <row r="173" ht="30" customHeight="1">
      <c r="A173" s="89"/>
      <c r="B173" t="s" s="90">
        <v>540</v>
      </c>
      <c r="C173" t="s" s="91">
        <v>161</v>
      </c>
      <c r="D173" t="s" s="91">
        <v>35</v>
      </c>
      <c r="E173" t="s" s="91">
        <v>37</v>
      </c>
      <c r="F173" t="s" s="91">
        <v>20</v>
      </c>
      <c r="G173" t="s" s="91">
        <v>22</v>
      </c>
      <c r="H173" t="s" s="91">
        <v>116</v>
      </c>
      <c r="I173" t="s" s="91">
        <v>571</v>
      </c>
      <c r="J173" t="s" s="91">
        <v>163</v>
      </c>
      <c r="K173" t="s" s="92">
        <f>CONCATENATE(D173,".",E173,".",F173,".",G173,".",H173,".",I173,".",J173)</f>
        <v>572</v>
      </c>
      <c r="L173" t="s" s="93">
        <v>573</v>
      </c>
      <c r="M173" t="s" s="94">
        <v>570</v>
      </c>
      <c r="N173" s="95"/>
      <c r="O173" s="96"/>
      <c r="P173" s="97"/>
      <c r="Q173" s="97"/>
      <c r="R173" s="97"/>
      <c r="S173" s="99"/>
    </row>
    <row r="174" ht="30" customHeight="1">
      <c r="A174" s="89"/>
      <c r="B174" t="s" s="90">
        <v>540</v>
      </c>
      <c r="C174" t="s" s="91">
        <v>161</v>
      </c>
      <c r="D174" t="s" s="91">
        <v>35</v>
      </c>
      <c r="E174" t="s" s="91">
        <v>37</v>
      </c>
      <c r="F174" t="s" s="91">
        <v>20</v>
      </c>
      <c r="G174" t="s" s="91">
        <v>22</v>
      </c>
      <c r="H174" t="s" s="91">
        <v>116</v>
      </c>
      <c r="I174" t="s" s="91">
        <v>574</v>
      </c>
      <c r="J174" t="s" s="91">
        <v>163</v>
      </c>
      <c r="K174" t="s" s="92">
        <f>CONCATENATE(D174,".",E174,".",F174,".",G174,".",H174,".",I174,".",J174)</f>
        <v>575</v>
      </c>
      <c r="L174" t="s" s="93">
        <v>576</v>
      </c>
      <c r="M174" t="s" s="94">
        <v>570</v>
      </c>
      <c r="N174" s="95"/>
      <c r="O174" s="96"/>
      <c r="P174" s="97"/>
      <c r="Q174" s="97"/>
      <c r="R174" s="97"/>
      <c r="S174" s="99"/>
    </row>
    <row r="175" ht="30" customHeight="1">
      <c r="A175" s="89"/>
      <c r="B175" t="s" s="90">
        <v>540</v>
      </c>
      <c r="C175" t="s" s="91">
        <v>161</v>
      </c>
      <c r="D175" t="s" s="91">
        <v>35</v>
      </c>
      <c r="E175" t="s" s="91">
        <v>37</v>
      </c>
      <c r="F175" t="s" s="91">
        <v>20</v>
      </c>
      <c r="G175" t="s" s="91">
        <v>22</v>
      </c>
      <c r="H175" t="s" s="91">
        <v>116</v>
      </c>
      <c r="I175" t="s" s="91">
        <v>577</v>
      </c>
      <c r="J175" t="s" s="91">
        <v>163</v>
      </c>
      <c r="K175" t="s" s="92">
        <f>CONCATENATE(D175,".",E175,".",F175,".",G175,".",H175,".",I175,".",J175)</f>
        <v>578</v>
      </c>
      <c r="L175" t="s" s="93">
        <v>579</v>
      </c>
      <c r="M175" t="s" s="94">
        <v>570</v>
      </c>
      <c r="N175" s="95"/>
      <c r="O175" s="96"/>
      <c r="P175" s="97"/>
      <c r="Q175" s="97"/>
      <c r="R175" s="97"/>
      <c r="S175" s="99"/>
    </row>
    <row r="176" ht="30" customHeight="1">
      <c r="A176" s="89"/>
      <c r="B176" t="s" s="90">
        <v>540</v>
      </c>
      <c r="C176" t="s" s="91">
        <v>161</v>
      </c>
      <c r="D176" t="s" s="91">
        <v>35</v>
      </c>
      <c r="E176" t="s" s="91">
        <v>37</v>
      </c>
      <c r="F176" t="s" s="91">
        <v>20</v>
      </c>
      <c r="G176" t="s" s="91">
        <v>22</v>
      </c>
      <c r="H176" t="s" s="91">
        <v>116</v>
      </c>
      <c r="I176" t="s" s="91">
        <v>580</v>
      </c>
      <c r="J176" t="s" s="91">
        <v>163</v>
      </c>
      <c r="K176" t="s" s="92">
        <f>CONCATENATE(D176,".",E176,".",F176,".",G176,".",H176,".",I176,".",J176)</f>
        <v>581</v>
      </c>
      <c r="L176" t="s" s="93">
        <v>582</v>
      </c>
      <c r="M176" t="s" s="94">
        <v>570</v>
      </c>
      <c r="N176" s="95"/>
      <c r="O176" s="96"/>
      <c r="P176" s="97"/>
      <c r="Q176" s="97"/>
      <c r="R176" s="97"/>
      <c r="S176" s="99"/>
    </row>
    <row r="177" ht="30" customHeight="1">
      <c r="A177" s="89"/>
      <c r="B177" t="s" s="90">
        <v>540</v>
      </c>
      <c r="C177" t="s" s="91">
        <v>161</v>
      </c>
      <c r="D177" t="s" s="91">
        <v>35</v>
      </c>
      <c r="E177" t="s" s="91">
        <v>37</v>
      </c>
      <c r="F177" t="s" s="91">
        <v>20</v>
      </c>
      <c r="G177" t="s" s="91">
        <v>22</v>
      </c>
      <c r="H177" t="s" s="91">
        <v>116</v>
      </c>
      <c r="I177" t="s" s="91">
        <v>583</v>
      </c>
      <c r="J177" t="s" s="91">
        <v>163</v>
      </c>
      <c r="K177" t="s" s="92">
        <f>CONCATENATE(D177,".",E177,".",F177,".",G177,".",H177,".",I177,".",J177)</f>
        <v>584</v>
      </c>
      <c r="L177" t="s" s="93">
        <v>585</v>
      </c>
      <c r="M177" t="s" s="94">
        <v>570</v>
      </c>
      <c r="N177" s="95"/>
      <c r="O177" s="96"/>
      <c r="P177" s="97"/>
      <c r="Q177" s="97"/>
      <c r="R177" s="97"/>
      <c r="S177" s="99"/>
    </row>
    <row r="178" ht="30" customHeight="1">
      <c r="A178" s="100"/>
      <c r="B178" t="s" s="90">
        <v>540</v>
      </c>
      <c r="C178" t="s" s="91">
        <v>161</v>
      </c>
      <c r="D178" t="s" s="91">
        <v>35</v>
      </c>
      <c r="E178" t="s" s="91">
        <v>37</v>
      </c>
      <c r="F178" t="s" s="91">
        <v>20</v>
      </c>
      <c r="G178" t="s" s="91">
        <v>22</v>
      </c>
      <c r="H178" t="s" s="91">
        <v>116</v>
      </c>
      <c r="I178" t="s" s="91">
        <v>586</v>
      </c>
      <c r="J178" t="s" s="91">
        <v>163</v>
      </c>
      <c r="K178" t="s" s="92">
        <f>CONCATENATE(D178,".",E178,".",F178,".",G178,".",H178,".",I178,".",J178)</f>
        <v>587</v>
      </c>
      <c r="L178" t="s" s="93">
        <v>588</v>
      </c>
      <c r="M178" t="s" s="94">
        <v>570</v>
      </c>
      <c r="N178" s="95"/>
      <c r="O178" s="96"/>
      <c r="P178" s="97"/>
      <c r="Q178" s="97"/>
      <c r="R178" s="97"/>
      <c r="S178" s="99"/>
    </row>
    <row r="179" ht="30" customHeight="1">
      <c r="A179" s="101"/>
      <c r="B179" t="s" s="90">
        <v>540</v>
      </c>
      <c r="C179" t="s" s="91">
        <v>161</v>
      </c>
      <c r="D179" t="s" s="91">
        <v>35</v>
      </c>
      <c r="E179" t="s" s="91">
        <v>37</v>
      </c>
      <c r="F179" t="s" s="91">
        <v>20</v>
      </c>
      <c r="G179" t="s" s="91">
        <v>22</v>
      </c>
      <c r="H179" t="s" s="91">
        <v>116</v>
      </c>
      <c r="I179" t="s" s="91">
        <v>589</v>
      </c>
      <c r="J179" t="s" s="91">
        <v>163</v>
      </c>
      <c r="K179" t="s" s="92">
        <f>CONCATENATE(D179,".",E179,".",F179,".",G179,".",H179,".",I179,".",J179)</f>
        <v>590</v>
      </c>
      <c r="L179" t="s" s="93">
        <v>591</v>
      </c>
      <c r="M179" t="s" s="94">
        <v>570</v>
      </c>
      <c r="N179" s="95"/>
      <c r="O179" s="96"/>
      <c r="P179" s="97"/>
      <c r="Q179" s="97"/>
      <c r="R179" s="97"/>
      <c r="S179" s="99"/>
    </row>
    <row r="180" ht="30" customHeight="1">
      <c r="A180" s="100"/>
      <c r="B180" t="s" s="90">
        <v>540</v>
      </c>
      <c r="C180" t="s" s="91">
        <v>161</v>
      </c>
      <c r="D180" t="s" s="91">
        <v>35</v>
      </c>
      <c r="E180" t="s" s="91">
        <v>37</v>
      </c>
      <c r="F180" t="s" s="91">
        <v>20</v>
      </c>
      <c r="G180" t="s" s="91">
        <v>22</v>
      </c>
      <c r="H180" t="s" s="91">
        <v>110</v>
      </c>
      <c r="I180" t="s" s="91">
        <v>592</v>
      </c>
      <c r="J180" t="s" s="91">
        <v>163</v>
      </c>
      <c r="K180" t="s" s="92">
        <f>CONCATENATE(D180,".",E180,".",F180,".",G180,".",H180,".",I180,".",J180)</f>
        <v>593</v>
      </c>
      <c r="L180" t="s" s="93">
        <v>594</v>
      </c>
      <c r="M180" t="s" s="94">
        <v>446</v>
      </c>
      <c r="N180" s="95"/>
      <c r="O180" s="96"/>
      <c r="P180" s="97"/>
      <c r="Q180" s="97"/>
      <c r="R180" s="97"/>
      <c r="S180" s="99"/>
    </row>
    <row r="181" ht="30" customHeight="1">
      <c r="A181" s="101"/>
      <c r="B181" t="s" s="90">
        <v>540</v>
      </c>
      <c r="C181" t="s" s="91">
        <v>161</v>
      </c>
      <c r="D181" t="s" s="91">
        <v>35</v>
      </c>
      <c r="E181" t="s" s="91">
        <v>37</v>
      </c>
      <c r="F181" t="s" s="91">
        <v>20</v>
      </c>
      <c r="G181" t="s" s="91">
        <v>22</v>
      </c>
      <c r="H181" t="s" s="91">
        <v>125</v>
      </c>
      <c r="I181" t="s" s="91">
        <v>595</v>
      </c>
      <c r="J181" t="s" s="91">
        <v>163</v>
      </c>
      <c r="K181" t="s" s="92">
        <f>CONCATENATE(D181,".",E181,".",F181,".",G181,".",H181,".",I181,".",J181)</f>
        <v>596</v>
      </c>
      <c r="L181" t="s" s="93">
        <v>597</v>
      </c>
      <c r="M181" t="s" s="94">
        <v>598</v>
      </c>
      <c r="N181" s="95"/>
      <c r="O181" s="96"/>
      <c r="P181" s="97"/>
      <c r="Q181" s="97"/>
      <c r="R181" s="97"/>
      <c r="S181" s="99"/>
    </row>
    <row r="182" ht="30" customHeight="1">
      <c r="A182" s="100"/>
      <c r="B182" t="s" s="90">
        <v>540</v>
      </c>
      <c r="C182" t="s" s="91">
        <v>161</v>
      </c>
      <c r="D182" t="s" s="91">
        <v>35</v>
      </c>
      <c r="E182" t="s" s="91">
        <v>37</v>
      </c>
      <c r="F182" t="s" s="91">
        <v>20</v>
      </c>
      <c r="G182" t="s" s="91">
        <v>22</v>
      </c>
      <c r="H182" t="s" s="91">
        <v>110</v>
      </c>
      <c r="I182" t="s" s="91">
        <v>599</v>
      </c>
      <c r="J182" t="s" s="91">
        <v>163</v>
      </c>
      <c r="K182" t="s" s="92">
        <f>CONCATENATE(D182,".",E182,".",F182,".",G182,".",H182,".",I182,".",J182)</f>
        <v>600</v>
      </c>
      <c r="L182" t="s" s="93">
        <v>601</v>
      </c>
      <c r="M182" t="s" s="94">
        <v>446</v>
      </c>
      <c r="N182" s="95"/>
      <c r="O182" s="96"/>
      <c r="P182" s="97"/>
      <c r="Q182" s="97"/>
      <c r="R182" s="97"/>
      <c r="S182" s="99"/>
    </row>
    <row r="183" ht="30" customHeight="1">
      <c r="A183" s="101"/>
      <c r="B183" t="s" s="90">
        <v>540</v>
      </c>
      <c r="C183" t="s" s="91">
        <v>161</v>
      </c>
      <c r="D183" t="s" s="91">
        <v>35</v>
      </c>
      <c r="E183" t="s" s="91">
        <v>37</v>
      </c>
      <c r="F183" t="s" s="91">
        <v>20</v>
      </c>
      <c r="G183" t="s" s="91">
        <v>22</v>
      </c>
      <c r="H183" t="s" s="91">
        <v>122</v>
      </c>
      <c r="I183" t="s" s="91">
        <v>602</v>
      </c>
      <c r="J183" t="s" s="91">
        <v>163</v>
      </c>
      <c r="K183" t="s" s="92">
        <f>CONCATENATE(D183,".",E183,".",F183,".",G183,".",H183,".",I183,".",J183)</f>
        <v>603</v>
      </c>
      <c r="L183" t="s" s="93">
        <v>604</v>
      </c>
      <c r="M183" t="s" s="94">
        <v>570</v>
      </c>
      <c r="N183" s="95"/>
      <c r="O183" s="96"/>
      <c r="P183" s="97"/>
      <c r="Q183" s="97"/>
      <c r="R183" s="97"/>
      <c r="S183" s="99"/>
    </row>
    <row r="184" ht="30" customHeight="1">
      <c r="A184" s="89"/>
      <c r="B184" t="s" s="90">
        <v>540</v>
      </c>
      <c r="C184" t="s" s="91">
        <v>161</v>
      </c>
      <c r="D184" t="s" s="91">
        <v>35</v>
      </c>
      <c r="E184" t="s" s="91">
        <v>37</v>
      </c>
      <c r="F184" t="s" s="91">
        <v>20</v>
      </c>
      <c r="G184" t="s" s="91">
        <v>22</v>
      </c>
      <c r="H184" t="s" s="91">
        <v>125</v>
      </c>
      <c r="I184" t="s" s="91">
        <v>605</v>
      </c>
      <c r="J184" t="s" s="91">
        <v>163</v>
      </c>
      <c r="K184" t="s" s="92">
        <f>CONCATENATE(D184,".",E184,".",F184,".",G184,".",H184,".",I184,".",J184)</f>
        <v>606</v>
      </c>
      <c r="L184" t="s" s="93">
        <v>607</v>
      </c>
      <c r="M184" t="s" s="94">
        <v>598</v>
      </c>
      <c r="N184" s="95"/>
      <c r="O184" s="96"/>
      <c r="P184" s="97"/>
      <c r="Q184" s="97"/>
      <c r="R184" s="97"/>
      <c r="S184" s="99"/>
    </row>
    <row r="185" ht="30" customHeight="1">
      <c r="A185" s="100"/>
      <c r="B185" t="s" s="90">
        <v>540</v>
      </c>
      <c r="C185" t="s" s="91">
        <v>161</v>
      </c>
      <c r="D185" t="s" s="91">
        <v>35</v>
      </c>
      <c r="E185" t="s" s="91">
        <v>37</v>
      </c>
      <c r="F185" t="s" s="91">
        <v>20</v>
      </c>
      <c r="G185" t="s" s="91">
        <v>22</v>
      </c>
      <c r="H185" t="s" s="91">
        <v>125</v>
      </c>
      <c r="I185" t="s" s="91">
        <v>608</v>
      </c>
      <c r="J185" t="s" s="91">
        <v>163</v>
      </c>
      <c r="K185" t="s" s="92">
        <f>CONCATENATE(D185,".",E185,".",F185,".",G185,".",H185,".",I185,".",J185)</f>
        <v>609</v>
      </c>
      <c r="L185" t="s" s="93">
        <v>610</v>
      </c>
      <c r="M185" t="s" s="94">
        <v>598</v>
      </c>
      <c r="N185" s="95"/>
      <c r="O185" s="121"/>
      <c r="P185" s="122"/>
      <c r="Q185" s="122"/>
      <c r="R185" s="122"/>
      <c r="S185" s="123"/>
    </row>
    <row r="186" ht="30" customHeight="1">
      <c r="A186" t="s" s="158">
        <v>611</v>
      </c>
      <c r="B186" s="112"/>
      <c r="C186" s="112"/>
      <c r="D186" s="112"/>
      <c r="E186" s="112"/>
      <c r="F186" s="112"/>
      <c r="G186" s="112"/>
      <c r="H186" s="112"/>
      <c r="I186" s="112"/>
      <c r="J186" s="112"/>
      <c r="K186" s="112"/>
      <c r="L186" s="112"/>
      <c r="M186" s="113"/>
      <c r="N186" s="114"/>
      <c r="O186" s="115"/>
      <c r="P186" s="116"/>
      <c r="Q186" s="116"/>
      <c r="R186" s="116"/>
      <c r="S186" s="117"/>
    </row>
    <row r="187" ht="30" customHeight="1">
      <c r="A187" s="101"/>
      <c r="B187" t="s" s="90">
        <v>612</v>
      </c>
      <c r="C187" t="s" s="91">
        <v>161</v>
      </c>
      <c r="D187" t="s" s="91">
        <v>35</v>
      </c>
      <c r="E187" t="s" s="91">
        <v>47</v>
      </c>
      <c r="F187" t="s" s="91">
        <v>20</v>
      </c>
      <c r="G187" t="s" s="91">
        <v>127</v>
      </c>
      <c r="H187" t="s" s="91">
        <v>101</v>
      </c>
      <c r="I187" t="s" s="91">
        <v>280</v>
      </c>
      <c r="J187" t="s" s="91">
        <v>163</v>
      </c>
      <c r="K187" t="s" s="92">
        <f>CONCATENATE(D187,".",E187,".",F187,".",G187,".",H187,".",I187,".",J187)</f>
        <v>613</v>
      </c>
      <c r="L187" t="s" s="93">
        <v>614</v>
      </c>
      <c r="M187" t="s" s="94">
        <v>446</v>
      </c>
      <c r="N187" s="95"/>
      <c r="O187" s="118"/>
      <c r="P187" s="119"/>
      <c r="Q187" s="119"/>
      <c r="R187" s="119"/>
      <c r="S187" s="125"/>
    </row>
    <row r="188" ht="30" customHeight="1">
      <c r="A188" s="89"/>
      <c r="B188" t="s" s="90">
        <v>612</v>
      </c>
      <c r="C188" t="s" s="91">
        <v>161</v>
      </c>
      <c r="D188" t="s" s="91">
        <v>35</v>
      </c>
      <c r="E188" t="s" s="91">
        <v>47</v>
      </c>
      <c r="F188" t="s" s="91">
        <v>20</v>
      </c>
      <c r="G188" t="s" s="91">
        <v>31</v>
      </c>
      <c r="H188" t="s" s="91">
        <v>101</v>
      </c>
      <c r="I188" t="s" s="91">
        <v>283</v>
      </c>
      <c r="J188" t="s" s="91">
        <v>163</v>
      </c>
      <c r="K188" t="s" s="92">
        <f>CONCATENATE(D188,".",E188,".",F188,".",G188,".",H188,".",I188,".",J188)</f>
        <v>615</v>
      </c>
      <c r="L188" t="s" s="93">
        <v>616</v>
      </c>
      <c r="M188" t="s" s="94">
        <v>446</v>
      </c>
      <c r="N188" s="95"/>
      <c r="O188" s="96"/>
      <c r="P188" s="97"/>
      <c r="Q188" s="97"/>
      <c r="R188" s="97"/>
      <c r="S188" s="99"/>
    </row>
    <row r="189" ht="30" customHeight="1">
      <c r="A189" s="89"/>
      <c r="B189" t="s" s="90">
        <v>612</v>
      </c>
      <c r="C189" t="s" s="91">
        <v>161</v>
      </c>
      <c r="D189" t="s" s="91">
        <v>35</v>
      </c>
      <c r="E189" t="s" s="91">
        <v>47</v>
      </c>
      <c r="F189" t="s" s="91">
        <v>20</v>
      </c>
      <c r="G189" t="s" s="91">
        <v>41</v>
      </c>
      <c r="H189" t="s" s="91">
        <v>101</v>
      </c>
      <c r="I189" t="s" s="91">
        <v>286</v>
      </c>
      <c r="J189" t="s" s="91">
        <v>163</v>
      </c>
      <c r="K189" t="s" s="92">
        <f>CONCATENATE(D189,".",E189,".",F189,".",G189,".",H189,".",I189,".",J189)</f>
        <v>617</v>
      </c>
      <c r="L189" t="s" s="93">
        <v>618</v>
      </c>
      <c r="M189" t="s" s="94">
        <v>446</v>
      </c>
      <c r="N189" s="95"/>
      <c r="O189" s="96"/>
      <c r="P189" s="97"/>
      <c r="Q189" s="97"/>
      <c r="R189" s="97"/>
      <c r="S189" s="99"/>
    </row>
    <row r="190" ht="30" customHeight="1">
      <c r="A190" s="89"/>
      <c r="B190" t="s" s="90">
        <v>612</v>
      </c>
      <c r="C190" t="s" s="91">
        <v>161</v>
      </c>
      <c r="D190" t="s" s="91">
        <v>35</v>
      </c>
      <c r="E190" t="s" s="91">
        <v>47</v>
      </c>
      <c r="F190" t="s" s="91">
        <v>20</v>
      </c>
      <c r="G190" t="s" s="91">
        <v>51</v>
      </c>
      <c r="H190" t="s" s="91">
        <v>101</v>
      </c>
      <c r="I190" t="s" s="91">
        <v>289</v>
      </c>
      <c r="J190" t="s" s="91">
        <v>163</v>
      </c>
      <c r="K190" t="s" s="92">
        <f>CONCATENATE(D190,".",E190,".",F190,".",G190,".",H190,".",I190,".",J190)</f>
        <v>619</v>
      </c>
      <c r="L190" t="s" s="93">
        <v>620</v>
      </c>
      <c r="M190" t="s" s="94">
        <v>446</v>
      </c>
      <c r="N190" s="95"/>
      <c r="O190" s="96"/>
      <c r="P190" s="97"/>
      <c r="Q190" s="97"/>
      <c r="R190" s="97"/>
      <c r="S190" s="99"/>
    </row>
    <row r="191" ht="30" customHeight="1">
      <c r="A191" s="89"/>
      <c r="B191" t="s" s="90">
        <v>612</v>
      </c>
      <c r="C191" t="s" s="91">
        <v>161</v>
      </c>
      <c r="D191" t="s" s="91">
        <v>35</v>
      </c>
      <c r="E191" t="s" s="91">
        <v>47</v>
      </c>
      <c r="F191" t="s" s="91">
        <v>20</v>
      </c>
      <c r="G191" t="s" s="91">
        <v>127</v>
      </c>
      <c r="H191" t="s" s="91">
        <v>101</v>
      </c>
      <c r="I191" t="s" s="91">
        <v>292</v>
      </c>
      <c r="J191" t="s" s="91">
        <v>163</v>
      </c>
      <c r="K191" t="s" s="92">
        <f>CONCATENATE(D191,".",E191,".",F191,".",G191,".",H191,".",I191,".",J191)</f>
        <v>621</v>
      </c>
      <c r="L191" t="s" s="93">
        <v>622</v>
      </c>
      <c r="M191" t="s" s="94">
        <v>446</v>
      </c>
      <c r="N191" s="95"/>
      <c r="O191" s="96"/>
      <c r="P191" s="97"/>
      <c r="Q191" s="97"/>
      <c r="R191" s="97"/>
      <c r="S191" s="99"/>
    </row>
    <row r="192" ht="30" customHeight="1">
      <c r="A192" s="89"/>
      <c r="B192" t="s" s="90">
        <v>612</v>
      </c>
      <c r="C192" t="s" s="91">
        <v>161</v>
      </c>
      <c r="D192" t="s" s="91">
        <v>35</v>
      </c>
      <c r="E192" t="s" s="91">
        <v>47</v>
      </c>
      <c r="F192" t="s" s="91">
        <v>20</v>
      </c>
      <c r="G192" t="s" s="91">
        <v>31</v>
      </c>
      <c r="H192" t="s" s="91">
        <v>101</v>
      </c>
      <c r="I192" t="s" s="91">
        <v>296</v>
      </c>
      <c r="J192" t="s" s="91">
        <v>163</v>
      </c>
      <c r="K192" t="s" s="92">
        <f>CONCATENATE(D192,".",E192,".",F192,".",G192,".",H192,".",I192,".",J192)</f>
        <v>623</v>
      </c>
      <c r="L192" t="s" s="93">
        <v>624</v>
      </c>
      <c r="M192" t="s" s="94">
        <v>446</v>
      </c>
      <c r="N192" s="95"/>
      <c r="O192" s="96"/>
      <c r="P192" s="97"/>
      <c r="Q192" s="97"/>
      <c r="R192" s="97"/>
      <c r="S192" s="99"/>
    </row>
    <row r="193" ht="30" customHeight="1">
      <c r="A193" s="89"/>
      <c r="B193" t="s" s="90">
        <v>612</v>
      </c>
      <c r="C193" t="s" s="91">
        <v>161</v>
      </c>
      <c r="D193" t="s" s="91">
        <v>35</v>
      </c>
      <c r="E193" t="s" s="91">
        <v>47</v>
      </c>
      <c r="F193" t="s" s="91">
        <v>20</v>
      </c>
      <c r="G193" t="s" s="91">
        <v>41</v>
      </c>
      <c r="H193" t="s" s="91">
        <v>101</v>
      </c>
      <c r="I193" t="s" s="91">
        <v>299</v>
      </c>
      <c r="J193" t="s" s="91">
        <v>163</v>
      </c>
      <c r="K193" t="s" s="92">
        <f>CONCATENATE(D193,".",E193,".",F193,".",G193,".",H193,".",I193,".",J193)</f>
        <v>625</v>
      </c>
      <c r="L193" t="s" s="93">
        <v>626</v>
      </c>
      <c r="M193" t="s" s="94">
        <v>446</v>
      </c>
      <c r="N193" s="95"/>
      <c r="O193" s="96"/>
      <c r="P193" s="97"/>
      <c r="Q193" s="97"/>
      <c r="R193" s="97"/>
      <c r="S193" s="99"/>
    </row>
    <row r="194" ht="30" customHeight="1">
      <c r="A194" s="89"/>
      <c r="B194" t="s" s="90">
        <v>612</v>
      </c>
      <c r="C194" t="s" s="91">
        <v>161</v>
      </c>
      <c r="D194" t="s" s="91">
        <v>35</v>
      </c>
      <c r="E194" t="s" s="91">
        <v>47</v>
      </c>
      <c r="F194" t="s" s="91">
        <v>20</v>
      </c>
      <c r="G194" t="s" s="91">
        <v>51</v>
      </c>
      <c r="H194" t="s" s="91">
        <v>101</v>
      </c>
      <c r="I194" t="s" s="91">
        <v>302</v>
      </c>
      <c r="J194" t="s" s="91">
        <v>163</v>
      </c>
      <c r="K194" t="s" s="92">
        <f>CONCATENATE(D194,".",E194,".",F194,".",G194,".",H194,".",I194,".",J194)</f>
        <v>627</v>
      </c>
      <c r="L194" t="s" s="93">
        <v>628</v>
      </c>
      <c r="M194" t="s" s="94">
        <v>446</v>
      </c>
      <c r="N194" s="95"/>
      <c r="O194" s="96"/>
      <c r="P194" s="97"/>
      <c r="Q194" s="97"/>
      <c r="R194" s="97"/>
      <c r="S194" s="99"/>
    </row>
    <row r="195" ht="30" customHeight="1">
      <c r="A195" s="89"/>
      <c r="B195" t="s" s="90">
        <v>612</v>
      </c>
      <c r="C195" t="s" s="91">
        <v>161</v>
      </c>
      <c r="D195" t="s" s="91">
        <v>35</v>
      </c>
      <c r="E195" t="s" s="91">
        <v>47</v>
      </c>
      <c r="F195" t="s" s="91">
        <v>20</v>
      </c>
      <c r="G195" t="s" s="91">
        <v>127</v>
      </c>
      <c r="H195" t="s" s="91">
        <v>101</v>
      </c>
      <c r="I195" t="s" s="91">
        <v>305</v>
      </c>
      <c r="J195" t="s" s="91">
        <v>163</v>
      </c>
      <c r="K195" t="s" s="92">
        <f>CONCATENATE(D195,".",E195,".",F195,".",G195,".",H195,".",I195,".",J195)</f>
        <v>629</v>
      </c>
      <c r="L195" t="s" s="93">
        <v>630</v>
      </c>
      <c r="M195" t="s" s="94">
        <v>446</v>
      </c>
      <c r="N195" s="95"/>
      <c r="O195" s="96"/>
      <c r="P195" s="97"/>
      <c r="Q195" s="97"/>
      <c r="R195" s="97"/>
      <c r="S195" s="99"/>
    </row>
    <row r="196" ht="30" customHeight="1">
      <c r="A196" s="89"/>
      <c r="B196" t="s" s="90">
        <v>612</v>
      </c>
      <c r="C196" t="s" s="91">
        <v>161</v>
      </c>
      <c r="D196" t="s" s="91">
        <v>35</v>
      </c>
      <c r="E196" t="s" s="91">
        <v>47</v>
      </c>
      <c r="F196" t="s" s="91">
        <v>20</v>
      </c>
      <c r="G196" t="s" s="91">
        <v>31</v>
      </c>
      <c r="H196" t="s" s="91">
        <v>101</v>
      </c>
      <c r="I196" t="s" s="91">
        <v>308</v>
      </c>
      <c r="J196" t="s" s="91">
        <v>163</v>
      </c>
      <c r="K196" t="s" s="92">
        <f>CONCATENATE(D196,".",E196,".",F196,".",G196,".",H196,".",I196,".",J196)</f>
        <v>631</v>
      </c>
      <c r="L196" t="s" s="93">
        <v>632</v>
      </c>
      <c r="M196" t="s" s="94">
        <v>446</v>
      </c>
      <c r="N196" s="95"/>
      <c r="O196" s="96"/>
      <c r="P196" s="97"/>
      <c r="Q196" s="97"/>
      <c r="R196" s="97"/>
      <c r="S196" s="99"/>
    </row>
    <row r="197" ht="30" customHeight="1">
      <c r="A197" s="89"/>
      <c r="B197" t="s" s="90">
        <v>612</v>
      </c>
      <c r="C197" t="s" s="91">
        <v>161</v>
      </c>
      <c r="D197" t="s" s="91">
        <v>35</v>
      </c>
      <c r="E197" t="s" s="91">
        <v>47</v>
      </c>
      <c r="F197" t="s" s="91">
        <v>20</v>
      </c>
      <c r="G197" t="s" s="91">
        <v>41</v>
      </c>
      <c r="H197" t="s" s="91">
        <v>101</v>
      </c>
      <c r="I197" t="s" s="91">
        <v>311</v>
      </c>
      <c r="J197" t="s" s="91">
        <v>163</v>
      </c>
      <c r="K197" t="s" s="92">
        <f>CONCATENATE(D197,".",E197,".",F197,".",G197,".",H197,".",I197,".",J197)</f>
        <v>633</v>
      </c>
      <c r="L197" t="s" s="93">
        <v>634</v>
      </c>
      <c r="M197" t="s" s="94">
        <v>446</v>
      </c>
      <c r="N197" s="95"/>
      <c r="O197" s="96"/>
      <c r="P197" s="97"/>
      <c r="Q197" s="97"/>
      <c r="R197" s="97"/>
      <c r="S197" s="99"/>
    </row>
    <row r="198" ht="30" customHeight="1">
      <c r="A198" s="89"/>
      <c r="B198" t="s" s="90">
        <v>612</v>
      </c>
      <c r="C198" t="s" s="91">
        <v>161</v>
      </c>
      <c r="D198" t="s" s="91">
        <v>35</v>
      </c>
      <c r="E198" t="s" s="91">
        <v>47</v>
      </c>
      <c r="F198" t="s" s="91">
        <v>20</v>
      </c>
      <c r="G198" t="s" s="91">
        <v>51</v>
      </c>
      <c r="H198" t="s" s="91">
        <v>101</v>
      </c>
      <c r="I198" t="s" s="91">
        <v>314</v>
      </c>
      <c r="J198" t="s" s="91">
        <v>163</v>
      </c>
      <c r="K198" t="s" s="92">
        <f>CONCATENATE(D198,".",E198,".",F198,".",G198,".",H198,".",I198,".",J198)</f>
        <v>635</v>
      </c>
      <c r="L198" t="s" s="93">
        <v>636</v>
      </c>
      <c r="M198" t="s" s="94">
        <v>446</v>
      </c>
      <c r="N198" s="95"/>
      <c r="O198" s="96"/>
      <c r="P198" s="97"/>
      <c r="Q198" s="97"/>
      <c r="R198" s="97"/>
      <c r="S198" s="99"/>
    </row>
    <row r="199" ht="30" customHeight="1">
      <c r="A199" s="89"/>
      <c r="B199" t="s" s="90">
        <v>612</v>
      </c>
      <c r="C199" t="s" s="91">
        <v>161</v>
      </c>
      <c r="D199" t="s" s="91">
        <v>35</v>
      </c>
      <c r="E199" t="s" s="91">
        <v>47</v>
      </c>
      <c r="F199" t="s" s="91">
        <v>20</v>
      </c>
      <c r="G199" t="s" s="91">
        <v>22</v>
      </c>
      <c r="H199" t="s" s="91">
        <v>53</v>
      </c>
      <c r="I199" t="s" s="91">
        <v>317</v>
      </c>
      <c r="J199" t="s" s="91">
        <v>163</v>
      </c>
      <c r="K199" t="s" s="92">
        <f>CONCATENATE(D199,".",E199,".",F199,".",G199,".",H199,".",I199,".",J199)</f>
        <v>637</v>
      </c>
      <c r="L199" t="s" s="93">
        <v>638</v>
      </c>
      <c r="M199" t="s" s="94">
        <v>446</v>
      </c>
      <c r="N199" s="95"/>
      <c r="O199" s="96"/>
      <c r="P199" s="97"/>
      <c r="Q199" s="97"/>
      <c r="R199" s="97"/>
      <c r="S199" s="99"/>
    </row>
    <row r="200" ht="30" customHeight="1">
      <c r="A200" s="89"/>
      <c r="B200" t="s" s="90">
        <v>612</v>
      </c>
      <c r="C200" t="s" s="91">
        <v>161</v>
      </c>
      <c r="D200" t="s" s="91">
        <v>35</v>
      </c>
      <c r="E200" t="s" s="91">
        <v>47</v>
      </c>
      <c r="F200" t="s" s="91">
        <v>20</v>
      </c>
      <c r="G200" t="s" s="91">
        <v>22</v>
      </c>
      <c r="H200" t="s" s="91">
        <v>53</v>
      </c>
      <c r="I200" t="s" s="91">
        <v>639</v>
      </c>
      <c r="J200" t="s" s="91">
        <v>163</v>
      </c>
      <c r="K200" t="s" s="92">
        <f>CONCATENATE(D200,".",E200,".",F200,".",G200,".",H200,".",I200,".",J200)</f>
        <v>640</v>
      </c>
      <c r="L200" t="s" s="93">
        <v>641</v>
      </c>
      <c r="M200" t="s" s="94">
        <v>446</v>
      </c>
      <c r="N200" s="95"/>
      <c r="O200" s="96"/>
      <c r="P200" s="97"/>
      <c r="Q200" s="97"/>
      <c r="R200" s="97"/>
      <c r="S200" s="99"/>
    </row>
    <row r="201" ht="30" customHeight="1">
      <c r="A201" s="89"/>
      <c r="B201" t="s" s="90">
        <v>612</v>
      </c>
      <c r="C201" t="s" s="91">
        <v>161</v>
      </c>
      <c r="D201" t="s" s="91">
        <v>35</v>
      </c>
      <c r="E201" t="s" s="91">
        <v>47</v>
      </c>
      <c r="F201" t="s" s="91">
        <v>20</v>
      </c>
      <c r="G201" t="s" s="91">
        <v>22</v>
      </c>
      <c r="H201" t="s" s="91">
        <v>53</v>
      </c>
      <c r="I201" t="s" s="91">
        <v>642</v>
      </c>
      <c r="J201" t="s" s="91">
        <v>163</v>
      </c>
      <c r="K201" t="s" s="92">
        <f>CONCATENATE(D201,".",E201,".",F201,".",G201,".",H201,".",I201,".",J201)</f>
        <v>643</v>
      </c>
      <c r="L201" t="s" s="93">
        <v>644</v>
      </c>
      <c r="M201" t="s" s="94">
        <v>446</v>
      </c>
      <c r="N201" s="95"/>
      <c r="O201" s="96"/>
      <c r="P201" s="97"/>
      <c r="Q201" s="97"/>
      <c r="R201" s="97"/>
      <c r="S201" s="99"/>
    </row>
    <row r="202" ht="30" customHeight="1">
      <c r="A202" s="89"/>
      <c r="B202" t="s" s="90">
        <v>612</v>
      </c>
      <c r="C202" t="s" s="91">
        <v>161</v>
      </c>
      <c r="D202" t="s" s="91">
        <v>35</v>
      </c>
      <c r="E202" t="s" s="91">
        <v>47</v>
      </c>
      <c r="F202" t="s" s="91">
        <v>20</v>
      </c>
      <c r="G202" t="s" s="91">
        <v>22</v>
      </c>
      <c r="H202" t="s" s="91">
        <v>53</v>
      </c>
      <c r="I202" t="s" s="91">
        <v>645</v>
      </c>
      <c r="J202" t="s" s="91">
        <v>163</v>
      </c>
      <c r="K202" t="s" s="92">
        <f>CONCATENATE(D202,".",E202,".",F202,".",G202,".",H202,".",I202,".",J202)</f>
        <v>646</v>
      </c>
      <c r="L202" t="s" s="93">
        <v>647</v>
      </c>
      <c r="M202" t="s" s="94">
        <v>446</v>
      </c>
      <c r="N202" s="95"/>
      <c r="O202" s="96"/>
      <c r="P202" s="97"/>
      <c r="Q202" s="97"/>
      <c r="R202" s="97"/>
      <c r="S202" s="99"/>
    </row>
    <row r="203" ht="30" customHeight="1">
      <c r="A203" s="89"/>
      <c r="B203" t="s" s="90">
        <v>612</v>
      </c>
      <c r="C203" t="s" s="91">
        <v>161</v>
      </c>
      <c r="D203" t="s" s="91">
        <v>35</v>
      </c>
      <c r="E203" t="s" s="91">
        <v>47</v>
      </c>
      <c r="F203" t="s" s="91">
        <v>20</v>
      </c>
      <c r="G203" t="s" s="91">
        <v>127</v>
      </c>
      <c r="H203" t="s" s="91">
        <v>101</v>
      </c>
      <c r="I203" t="s" s="91">
        <v>648</v>
      </c>
      <c r="J203" t="s" s="91">
        <v>163</v>
      </c>
      <c r="K203" t="s" s="92">
        <f>CONCATENATE(D203,".",E203,".",F203,".",G203,".",H203,".",I203,".",J203)</f>
        <v>649</v>
      </c>
      <c r="L203" t="s" s="93">
        <v>650</v>
      </c>
      <c r="M203" t="s" s="94">
        <v>446</v>
      </c>
      <c r="N203" s="95"/>
      <c r="O203" s="96"/>
      <c r="P203" s="97"/>
      <c r="Q203" s="97"/>
      <c r="R203" s="97"/>
      <c r="S203" s="99"/>
    </row>
    <row r="204" ht="30" customHeight="1">
      <c r="A204" s="89"/>
      <c r="B204" t="s" s="90">
        <v>612</v>
      </c>
      <c r="C204" t="s" s="91">
        <v>161</v>
      </c>
      <c r="D204" t="s" s="91">
        <v>35</v>
      </c>
      <c r="E204" t="s" s="91">
        <v>47</v>
      </c>
      <c r="F204" t="s" s="91">
        <v>20</v>
      </c>
      <c r="G204" t="s" s="91">
        <v>31</v>
      </c>
      <c r="H204" t="s" s="91">
        <v>101</v>
      </c>
      <c r="I204" t="s" s="91">
        <v>651</v>
      </c>
      <c r="J204" t="s" s="91">
        <v>163</v>
      </c>
      <c r="K204" t="s" s="92">
        <f>CONCATENATE(D204,".",E204,".",F204,".",G204,".",H204,".",I204,".",J204)</f>
        <v>652</v>
      </c>
      <c r="L204" t="s" s="93">
        <v>653</v>
      </c>
      <c r="M204" t="s" s="94">
        <v>446</v>
      </c>
      <c r="N204" s="95"/>
      <c r="O204" s="96"/>
      <c r="P204" s="97"/>
      <c r="Q204" s="97"/>
      <c r="R204" s="97"/>
      <c r="S204" s="99"/>
    </row>
    <row r="205" ht="30" customHeight="1">
      <c r="A205" s="89"/>
      <c r="B205" t="s" s="90">
        <v>612</v>
      </c>
      <c r="C205" t="s" s="91">
        <v>161</v>
      </c>
      <c r="D205" t="s" s="91">
        <v>35</v>
      </c>
      <c r="E205" t="s" s="91">
        <v>47</v>
      </c>
      <c r="F205" t="s" s="91">
        <v>20</v>
      </c>
      <c r="G205" t="s" s="91">
        <v>41</v>
      </c>
      <c r="H205" t="s" s="91">
        <v>101</v>
      </c>
      <c r="I205" t="s" s="91">
        <v>654</v>
      </c>
      <c r="J205" t="s" s="91">
        <v>163</v>
      </c>
      <c r="K205" t="s" s="92">
        <f>CONCATENATE(D205,".",E205,".",F205,".",G205,".",H205,".",I205,".",J205)</f>
        <v>655</v>
      </c>
      <c r="L205" t="s" s="93">
        <v>656</v>
      </c>
      <c r="M205" t="s" s="94">
        <v>446</v>
      </c>
      <c r="N205" s="95"/>
      <c r="O205" s="96"/>
      <c r="P205" s="97"/>
      <c r="Q205" s="97"/>
      <c r="R205" s="97"/>
      <c r="S205" s="99"/>
    </row>
    <row r="206" ht="30" customHeight="1">
      <c r="A206" s="89"/>
      <c r="B206" t="s" s="90">
        <v>612</v>
      </c>
      <c r="C206" t="s" s="91">
        <v>161</v>
      </c>
      <c r="D206" t="s" s="91">
        <v>35</v>
      </c>
      <c r="E206" t="s" s="91">
        <v>47</v>
      </c>
      <c r="F206" t="s" s="91">
        <v>20</v>
      </c>
      <c r="G206" t="s" s="91">
        <v>51</v>
      </c>
      <c r="H206" t="s" s="91">
        <v>101</v>
      </c>
      <c r="I206" t="s" s="91">
        <v>657</v>
      </c>
      <c r="J206" t="s" s="91">
        <v>163</v>
      </c>
      <c r="K206" t="s" s="92">
        <f>CONCATENATE(D206,".",E206,".",F206,".",G206,".",H206,".",I206,".",J206)</f>
        <v>658</v>
      </c>
      <c r="L206" t="s" s="93">
        <v>659</v>
      </c>
      <c r="M206" t="s" s="94">
        <v>446</v>
      </c>
      <c r="N206" s="95"/>
      <c r="O206" s="96"/>
      <c r="P206" s="97"/>
      <c r="Q206" s="97"/>
      <c r="R206" s="97"/>
      <c r="S206" s="99"/>
    </row>
    <row r="207" ht="30" customHeight="1">
      <c r="A207" s="89"/>
      <c r="B207" t="s" s="90">
        <v>612</v>
      </c>
      <c r="C207" t="s" s="91">
        <v>161</v>
      </c>
      <c r="D207" t="s" s="91">
        <v>35</v>
      </c>
      <c r="E207" t="s" s="91">
        <v>47</v>
      </c>
      <c r="F207" t="s" s="91">
        <v>20</v>
      </c>
      <c r="G207" t="s" s="91">
        <v>127</v>
      </c>
      <c r="H207" t="s" s="91">
        <v>101</v>
      </c>
      <c r="I207" t="s" s="91">
        <v>660</v>
      </c>
      <c r="J207" t="s" s="91">
        <v>163</v>
      </c>
      <c r="K207" t="s" s="92">
        <f>CONCATENATE(D207,".",E207,".",F207,".",G207,".",H207,".",I207,".",J207)</f>
        <v>661</v>
      </c>
      <c r="L207" t="s" s="93">
        <v>662</v>
      </c>
      <c r="M207" t="s" s="94">
        <v>446</v>
      </c>
      <c r="N207" s="95"/>
      <c r="O207" s="96"/>
      <c r="P207" s="97"/>
      <c r="Q207" s="97"/>
      <c r="R207" s="97"/>
      <c r="S207" s="99"/>
    </row>
    <row r="208" ht="30" customHeight="1">
      <c r="A208" s="89"/>
      <c r="B208" t="s" s="90">
        <v>612</v>
      </c>
      <c r="C208" t="s" s="91">
        <v>161</v>
      </c>
      <c r="D208" t="s" s="91">
        <v>35</v>
      </c>
      <c r="E208" t="s" s="91">
        <v>47</v>
      </c>
      <c r="F208" t="s" s="91">
        <v>20</v>
      </c>
      <c r="G208" t="s" s="91">
        <v>31</v>
      </c>
      <c r="H208" t="s" s="91">
        <v>101</v>
      </c>
      <c r="I208" t="s" s="91">
        <v>663</v>
      </c>
      <c r="J208" t="s" s="91">
        <v>163</v>
      </c>
      <c r="K208" t="s" s="92">
        <f>CONCATENATE(D208,".",E208,".",F208,".",G208,".",H208,".",I208,".",J208)</f>
        <v>664</v>
      </c>
      <c r="L208" t="s" s="93">
        <v>665</v>
      </c>
      <c r="M208" t="s" s="94">
        <v>446</v>
      </c>
      <c r="N208" s="95"/>
      <c r="O208" s="96"/>
      <c r="P208" s="97"/>
      <c r="Q208" s="97"/>
      <c r="R208" s="97"/>
      <c r="S208" s="99"/>
    </row>
    <row r="209" ht="30" customHeight="1">
      <c r="A209" s="89"/>
      <c r="B209" t="s" s="90">
        <v>612</v>
      </c>
      <c r="C209" t="s" s="91">
        <v>161</v>
      </c>
      <c r="D209" t="s" s="91">
        <v>35</v>
      </c>
      <c r="E209" t="s" s="91">
        <v>47</v>
      </c>
      <c r="F209" t="s" s="91">
        <v>20</v>
      </c>
      <c r="G209" t="s" s="91">
        <v>41</v>
      </c>
      <c r="H209" t="s" s="91">
        <v>101</v>
      </c>
      <c r="I209" t="s" s="91">
        <v>666</v>
      </c>
      <c r="J209" t="s" s="91">
        <v>163</v>
      </c>
      <c r="K209" t="s" s="92">
        <f>CONCATENATE(D209,".",E209,".",F209,".",G209,".",H209,".",I209,".",J209)</f>
        <v>667</v>
      </c>
      <c r="L209" t="s" s="93">
        <v>668</v>
      </c>
      <c r="M209" t="s" s="94">
        <v>446</v>
      </c>
      <c r="N209" s="95"/>
      <c r="O209" s="96"/>
      <c r="P209" s="97"/>
      <c r="Q209" s="97"/>
      <c r="R209" s="97"/>
      <c r="S209" s="99"/>
    </row>
    <row r="210" ht="30" customHeight="1">
      <c r="A210" s="89"/>
      <c r="B210" t="s" s="90">
        <v>612</v>
      </c>
      <c r="C210" t="s" s="91">
        <v>161</v>
      </c>
      <c r="D210" t="s" s="91">
        <v>35</v>
      </c>
      <c r="E210" t="s" s="91">
        <v>47</v>
      </c>
      <c r="F210" t="s" s="91">
        <v>20</v>
      </c>
      <c r="G210" t="s" s="91">
        <v>51</v>
      </c>
      <c r="H210" t="s" s="91">
        <v>101</v>
      </c>
      <c r="I210" t="s" s="91">
        <v>669</v>
      </c>
      <c r="J210" t="s" s="91">
        <v>163</v>
      </c>
      <c r="K210" t="s" s="92">
        <f>CONCATENATE(D210,".",E210,".",F210,".",G210,".",H210,".",I210,".",J210)</f>
        <v>670</v>
      </c>
      <c r="L210" t="s" s="93">
        <v>671</v>
      </c>
      <c r="M210" t="s" s="94">
        <v>446</v>
      </c>
      <c r="N210" s="95"/>
      <c r="O210" s="96"/>
      <c r="P210" s="97"/>
      <c r="Q210" s="97"/>
      <c r="R210" s="97"/>
      <c r="S210" s="99"/>
    </row>
    <row r="211" ht="30" customHeight="1">
      <c r="A211" s="89"/>
      <c r="B211" t="s" s="90">
        <v>612</v>
      </c>
      <c r="C211" t="s" s="91">
        <v>161</v>
      </c>
      <c r="D211" t="s" s="91">
        <v>35</v>
      </c>
      <c r="E211" t="s" s="91">
        <v>47</v>
      </c>
      <c r="F211" t="s" s="91">
        <v>20</v>
      </c>
      <c r="G211" t="s" s="91">
        <v>22</v>
      </c>
      <c r="H211" t="s" s="91">
        <v>101</v>
      </c>
      <c r="I211" t="s" s="91">
        <v>672</v>
      </c>
      <c r="J211" t="s" s="91">
        <v>163</v>
      </c>
      <c r="K211" t="s" s="92">
        <f>CONCATENATE(D211,".",E211,".",F211,".",G211,".",H211,".",I211,".",J211)</f>
        <v>673</v>
      </c>
      <c r="L211" t="s" s="93">
        <v>674</v>
      </c>
      <c r="M211" t="s" s="94">
        <v>446</v>
      </c>
      <c r="N211" s="95"/>
      <c r="O211" s="96"/>
      <c r="P211" s="97"/>
      <c r="Q211" s="97"/>
      <c r="R211" s="97"/>
      <c r="S211" s="99"/>
    </row>
    <row r="212" ht="30" customHeight="1">
      <c r="A212" s="89"/>
      <c r="B212" t="s" s="90">
        <v>612</v>
      </c>
      <c r="C212" t="s" s="91">
        <v>161</v>
      </c>
      <c r="D212" t="s" s="91">
        <v>35</v>
      </c>
      <c r="E212" t="s" s="91">
        <v>47</v>
      </c>
      <c r="F212" t="s" s="91">
        <v>20</v>
      </c>
      <c r="G212" t="s" s="91">
        <v>127</v>
      </c>
      <c r="H212" t="s" s="91">
        <v>101</v>
      </c>
      <c r="I212" t="s" s="91">
        <v>675</v>
      </c>
      <c r="J212" t="s" s="91">
        <v>163</v>
      </c>
      <c r="K212" t="s" s="92">
        <f>CONCATENATE(D212,".",E212,".",F212,".",G212,".",H212,".",I212,".",J212)</f>
        <v>676</v>
      </c>
      <c r="L212" t="s" s="93">
        <v>677</v>
      </c>
      <c r="M212" t="s" s="94">
        <v>446</v>
      </c>
      <c r="N212" s="95"/>
      <c r="O212" s="96"/>
      <c r="P212" s="97"/>
      <c r="Q212" s="97"/>
      <c r="R212" s="97"/>
      <c r="S212" s="99"/>
    </row>
    <row r="213" ht="30" customHeight="1">
      <c r="A213" s="89"/>
      <c r="B213" t="s" s="90">
        <v>612</v>
      </c>
      <c r="C213" t="s" s="91">
        <v>161</v>
      </c>
      <c r="D213" t="s" s="91">
        <v>35</v>
      </c>
      <c r="E213" t="s" s="91">
        <v>47</v>
      </c>
      <c r="F213" t="s" s="91">
        <v>20</v>
      </c>
      <c r="G213" t="s" s="91">
        <v>31</v>
      </c>
      <c r="H213" t="s" s="91">
        <v>101</v>
      </c>
      <c r="I213" t="s" s="91">
        <v>678</v>
      </c>
      <c r="J213" t="s" s="91">
        <v>163</v>
      </c>
      <c r="K213" t="s" s="92">
        <f>CONCATENATE(D213,".",E213,".",F213,".",G213,".",H213,".",I213,".",J213)</f>
        <v>679</v>
      </c>
      <c r="L213" t="s" s="93">
        <v>680</v>
      </c>
      <c r="M213" t="s" s="94">
        <v>446</v>
      </c>
      <c r="N213" s="95"/>
      <c r="O213" s="96"/>
      <c r="P213" s="97"/>
      <c r="Q213" s="97"/>
      <c r="R213" s="97"/>
      <c r="S213" s="99"/>
    </row>
    <row r="214" ht="30" customHeight="1">
      <c r="A214" s="89"/>
      <c r="B214" t="s" s="90">
        <v>612</v>
      </c>
      <c r="C214" t="s" s="91">
        <v>161</v>
      </c>
      <c r="D214" t="s" s="91">
        <v>35</v>
      </c>
      <c r="E214" t="s" s="91">
        <v>47</v>
      </c>
      <c r="F214" t="s" s="91">
        <v>20</v>
      </c>
      <c r="G214" t="s" s="91">
        <v>41</v>
      </c>
      <c r="H214" t="s" s="91">
        <v>101</v>
      </c>
      <c r="I214" t="s" s="91">
        <v>681</v>
      </c>
      <c r="J214" t="s" s="91">
        <v>163</v>
      </c>
      <c r="K214" t="s" s="92">
        <f>CONCATENATE(D214,".",E214,".",F214,".",G214,".",H214,".",I214,".",J214)</f>
        <v>682</v>
      </c>
      <c r="L214" t="s" s="93">
        <v>683</v>
      </c>
      <c r="M214" t="s" s="94">
        <v>446</v>
      </c>
      <c r="N214" s="95"/>
      <c r="O214" s="96"/>
      <c r="P214" s="97"/>
      <c r="Q214" s="97"/>
      <c r="R214" s="97"/>
      <c r="S214" s="99"/>
    </row>
    <row r="215" ht="30" customHeight="1">
      <c r="A215" s="89"/>
      <c r="B215" t="s" s="90">
        <v>612</v>
      </c>
      <c r="C215" t="s" s="91">
        <v>161</v>
      </c>
      <c r="D215" t="s" s="91">
        <v>35</v>
      </c>
      <c r="E215" t="s" s="91">
        <v>47</v>
      </c>
      <c r="F215" t="s" s="91">
        <v>20</v>
      </c>
      <c r="G215" t="s" s="91">
        <v>51</v>
      </c>
      <c r="H215" t="s" s="91">
        <v>101</v>
      </c>
      <c r="I215" t="s" s="91">
        <v>684</v>
      </c>
      <c r="J215" t="s" s="91">
        <v>163</v>
      </c>
      <c r="K215" t="s" s="92">
        <f>CONCATENATE(D215,".",E215,".",F215,".",G215,".",H215,".",I215,".",J215)</f>
        <v>685</v>
      </c>
      <c r="L215" t="s" s="93">
        <v>686</v>
      </c>
      <c r="M215" t="s" s="94">
        <v>446</v>
      </c>
      <c r="N215" s="95"/>
      <c r="O215" s="96"/>
      <c r="P215" s="97"/>
      <c r="Q215" s="97"/>
      <c r="R215" s="97"/>
      <c r="S215" s="99"/>
    </row>
    <row r="216" ht="30" customHeight="1">
      <c r="A216" s="89"/>
      <c r="B216" t="s" s="90">
        <v>612</v>
      </c>
      <c r="C216" t="s" s="91">
        <v>161</v>
      </c>
      <c r="D216" t="s" s="91">
        <v>35</v>
      </c>
      <c r="E216" t="s" s="91">
        <v>47</v>
      </c>
      <c r="F216" t="s" s="91">
        <v>20</v>
      </c>
      <c r="G216" t="s" s="91">
        <v>22</v>
      </c>
      <c r="H216" t="s" s="91">
        <v>53</v>
      </c>
      <c r="I216" t="s" s="91">
        <v>687</v>
      </c>
      <c r="J216" t="s" s="91">
        <v>163</v>
      </c>
      <c r="K216" t="s" s="92">
        <f>CONCATENATE(D216,".",E216,".",F216,".",G216,".",H216,".",I216,".",J216)</f>
        <v>688</v>
      </c>
      <c r="L216" t="s" s="93">
        <v>689</v>
      </c>
      <c r="M216" t="s" s="94">
        <v>446</v>
      </c>
      <c r="N216" s="95"/>
      <c r="O216" s="96"/>
      <c r="P216" s="97"/>
      <c r="Q216" s="97"/>
      <c r="R216" s="97"/>
      <c r="S216" s="99"/>
    </row>
    <row r="217" ht="30" customHeight="1">
      <c r="A217" s="100"/>
      <c r="B217" t="s" s="90">
        <v>612</v>
      </c>
      <c r="C217" t="s" s="91">
        <v>161</v>
      </c>
      <c r="D217" t="s" s="91">
        <v>35</v>
      </c>
      <c r="E217" t="s" s="91">
        <v>47</v>
      </c>
      <c r="F217" t="s" s="91">
        <v>20</v>
      </c>
      <c r="G217" t="s" s="91">
        <v>22</v>
      </c>
      <c r="H217" t="s" s="91">
        <v>53</v>
      </c>
      <c r="I217" t="s" s="91">
        <v>690</v>
      </c>
      <c r="J217" t="s" s="91">
        <v>163</v>
      </c>
      <c r="K217" t="s" s="92">
        <f>CONCATENATE(D217,".",E217,".",F217,".",G217,".",H217,".",I217,".",J217)</f>
        <v>691</v>
      </c>
      <c r="L217" t="s" s="93">
        <v>692</v>
      </c>
      <c r="M217" t="s" s="94">
        <v>446</v>
      </c>
      <c r="N217" s="95"/>
      <c r="O217" s="121"/>
      <c r="P217" s="122"/>
      <c r="Q217" s="122"/>
      <c r="R217" s="122"/>
      <c r="S217" s="123"/>
    </row>
    <row r="218" ht="30" customHeight="1">
      <c r="A218" t="s" s="158">
        <v>693</v>
      </c>
      <c r="B218" s="112"/>
      <c r="C218" s="112"/>
      <c r="D218" s="112"/>
      <c r="E218" s="112"/>
      <c r="F218" s="112"/>
      <c r="G218" s="112"/>
      <c r="H218" s="112"/>
      <c r="I218" s="112"/>
      <c r="J218" s="112"/>
      <c r="K218" s="112"/>
      <c r="L218" s="112"/>
      <c r="M218" s="113"/>
      <c r="N218" s="114"/>
      <c r="O218" s="115"/>
      <c r="P218" s="116"/>
      <c r="Q218" s="116"/>
      <c r="R218" s="116"/>
      <c r="S218" s="117"/>
    </row>
    <row r="219" ht="30" customHeight="1">
      <c r="A219" s="101"/>
      <c r="B219" t="s" s="90">
        <v>694</v>
      </c>
      <c r="C219" t="s" s="91">
        <v>161</v>
      </c>
      <c r="D219" t="s" s="91">
        <v>35</v>
      </c>
      <c r="E219" t="s" s="91">
        <v>55</v>
      </c>
      <c r="F219" t="s" s="91">
        <v>20</v>
      </c>
      <c r="G219" t="s" s="91">
        <v>22</v>
      </c>
      <c r="H219" t="s" s="91">
        <v>104</v>
      </c>
      <c r="I219" t="s" s="91">
        <v>695</v>
      </c>
      <c r="J219" t="s" s="91">
        <v>163</v>
      </c>
      <c r="K219" t="s" s="92">
        <f>CONCATENATE(D219,".",E219,".",F219,".",G219,".",H219,".",I219,".",J219)</f>
        <v>696</v>
      </c>
      <c r="L219" t="s" s="93">
        <v>697</v>
      </c>
      <c r="M219" t="s" s="94">
        <v>446</v>
      </c>
      <c r="N219" s="95"/>
      <c r="O219" s="118"/>
      <c r="P219" s="119"/>
      <c r="Q219" s="119"/>
      <c r="R219" s="119"/>
      <c r="S219" s="125"/>
    </row>
    <row r="220" ht="30" customHeight="1">
      <c r="A220" s="89"/>
      <c r="B220" t="s" s="90">
        <v>694</v>
      </c>
      <c r="C220" t="s" s="91">
        <v>161</v>
      </c>
      <c r="D220" t="s" s="91">
        <v>35</v>
      </c>
      <c r="E220" t="s" s="91">
        <v>55</v>
      </c>
      <c r="F220" t="s" s="91">
        <v>20</v>
      </c>
      <c r="G220" t="s" s="91">
        <v>22</v>
      </c>
      <c r="H220" t="s" s="91">
        <v>104</v>
      </c>
      <c r="I220" t="s" s="91">
        <v>698</v>
      </c>
      <c r="J220" t="s" s="91">
        <v>163</v>
      </c>
      <c r="K220" t="s" s="92">
        <f>CONCATENATE(D220,".",E220,".",F220,".",G220,".",H220,".",I220,".",J220)</f>
        <v>699</v>
      </c>
      <c r="L220" t="s" s="93">
        <v>700</v>
      </c>
      <c r="M220" t="s" s="94">
        <v>166</v>
      </c>
      <c r="N220" s="95"/>
      <c r="O220" s="96"/>
      <c r="P220" s="97"/>
      <c r="Q220" s="97"/>
      <c r="R220" s="97"/>
      <c r="S220" s="99"/>
    </row>
    <row r="221" ht="30" customHeight="1">
      <c r="A221" s="100"/>
      <c r="B221" t="s" s="90">
        <v>694</v>
      </c>
      <c r="C221" t="s" s="91">
        <v>161</v>
      </c>
      <c r="D221" t="s" s="91">
        <v>35</v>
      </c>
      <c r="E221" t="s" s="91">
        <v>55</v>
      </c>
      <c r="F221" t="s" s="91">
        <v>20</v>
      </c>
      <c r="G221" t="s" s="91">
        <v>22</v>
      </c>
      <c r="H221" t="s" s="91">
        <v>104</v>
      </c>
      <c r="I221" t="s" s="91">
        <v>701</v>
      </c>
      <c r="J221" t="s" s="91">
        <v>163</v>
      </c>
      <c r="K221" t="s" s="92">
        <f>CONCATENATE(D221,".",E221,".",F221,".",G221,".",H221,".",I221,".",J221)</f>
        <v>702</v>
      </c>
      <c r="L221" t="s" s="93">
        <v>703</v>
      </c>
      <c r="M221" t="s" s="94">
        <v>166</v>
      </c>
      <c r="N221" s="95"/>
      <c r="O221" s="121"/>
      <c r="P221" s="122"/>
      <c r="Q221" s="122"/>
      <c r="R221" s="122"/>
      <c r="S221" s="123"/>
    </row>
    <row r="222" ht="30" customHeight="1">
      <c r="A222" t="s" s="158">
        <v>704</v>
      </c>
      <c r="B222" s="112"/>
      <c r="C222" s="112"/>
      <c r="D222" s="112"/>
      <c r="E222" s="112"/>
      <c r="F222" s="112"/>
      <c r="G222" s="112"/>
      <c r="H222" s="112"/>
      <c r="I222" s="112"/>
      <c r="J222" s="112"/>
      <c r="K222" s="112"/>
      <c r="L222" s="112"/>
      <c r="M222" s="113"/>
      <c r="N222" s="114"/>
      <c r="O222" s="115"/>
      <c r="P222" s="116"/>
      <c r="Q222" s="116"/>
      <c r="R222" s="116"/>
      <c r="S222" s="117"/>
    </row>
    <row r="223" ht="30" customHeight="1">
      <c r="A223" s="159"/>
      <c r="B223" t="s" s="90">
        <v>704</v>
      </c>
      <c r="C223" t="s" s="91">
        <v>161</v>
      </c>
      <c r="D223" t="s" s="91">
        <v>35</v>
      </c>
      <c r="E223" t="s" s="91">
        <v>70</v>
      </c>
      <c r="F223" t="s" s="91">
        <v>20</v>
      </c>
      <c r="G223" t="s" s="91">
        <v>127</v>
      </c>
      <c r="H223" t="s" s="91">
        <v>104</v>
      </c>
      <c r="I223" t="s" s="91">
        <v>705</v>
      </c>
      <c r="J223" t="s" s="91">
        <v>163</v>
      </c>
      <c r="K223" t="s" s="92">
        <f>CONCATENATE(D223,".",E223,".",F223,".",G223,".",H223,".",I223,".",J223)</f>
        <v>706</v>
      </c>
      <c r="L223" t="s" s="93">
        <v>707</v>
      </c>
      <c r="M223" t="s" s="94">
        <v>446</v>
      </c>
      <c r="N223" s="95"/>
      <c r="O223" s="160"/>
      <c r="P223" s="161"/>
      <c r="Q223" s="161"/>
      <c r="R223" s="161"/>
      <c r="S223" s="162"/>
    </row>
    <row r="224" ht="30" customHeight="1">
      <c r="A224" s="159"/>
      <c r="B224" t="s" s="90">
        <v>704</v>
      </c>
      <c r="C224" t="s" s="91">
        <v>161</v>
      </c>
      <c r="D224" t="s" s="91">
        <v>35</v>
      </c>
      <c r="E224" t="s" s="91">
        <v>70</v>
      </c>
      <c r="F224" t="s" s="91">
        <v>20</v>
      </c>
      <c r="G224" t="s" s="91">
        <v>31</v>
      </c>
      <c r="H224" t="s" s="91">
        <v>104</v>
      </c>
      <c r="I224" t="s" s="91">
        <v>708</v>
      </c>
      <c r="J224" t="s" s="91">
        <v>163</v>
      </c>
      <c r="K224" t="s" s="92">
        <f>CONCATENATE(D224,".",E224,".",F224,".",G224,".",H224,".",I224,".",J224)</f>
        <v>709</v>
      </c>
      <c r="L224" t="s" s="93">
        <v>710</v>
      </c>
      <c r="M224" t="s" s="94">
        <v>446</v>
      </c>
      <c r="N224" s="95"/>
      <c r="O224" s="160"/>
      <c r="P224" s="161"/>
      <c r="Q224" s="161"/>
      <c r="R224" s="161"/>
      <c r="S224" s="162"/>
    </row>
    <row r="225" ht="30" customHeight="1">
      <c r="A225" s="159"/>
      <c r="B225" t="s" s="90">
        <v>704</v>
      </c>
      <c r="C225" t="s" s="91">
        <v>161</v>
      </c>
      <c r="D225" t="s" s="91">
        <v>35</v>
      </c>
      <c r="E225" t="s" s="91">
        <v>70</v>
      </c>
      <c r="F225" t="s" s="91">
        <v>20</v>
      </c>
      <c r="G225" t="s" s="91">
        <v>41</v>
      </c>
      <c r="H225" t="s" s="91">
        <v>104</v>
      </c>
      <c r="I225" t="s" s="91">
        <v>711</v>
      </c>
      <c r="J225" t="s" s="91">
        <v>163</v>
      </c>
      <c r="K225" t="s" s="92">
        <f>CONCATENATE(D225,".",E225,".",F225,".",G225,".",H225,".",I225,".",J225)</f>
        <v>712</v>
      </c>
      <c r="L225" t="s" s="93">
        <v>713</v>
      </c>
      <c r="M225" t="s" s="94">
        <v>446</v>
      </c>
      <c r="N225" s="95"/>
      <c r="O225" s="160"/>
      <c r="P225" s="161"/>
      <c r="Q225" s="161"/>
      <c r="R225" s="161"/>
      <c r="S225" s="162"/>
    </row>
    <row r="226" ht="30" customHeight="1">
      <c r="A226" s="163"/>
      <c r="B226" t="s" s="164">
        <v>704</v>
      </c>
      <c r="C226" t="s" s="165">
        <v>161</v>
      </c>
      <c r="D226" t="s" s="165">
        <v>35</v>
      </c>
      <c r="E226" t="s" s="165">
        <v>70</v>
      </c>
      <c r="F226" t="s" s="165">
        <v>20</v>
      </c>
      <c r="G226" t="s" s="165">
        <v>51</v>
      </c>
      <c r="H226" t="s" s="165">
        <v>104</v>
      </c>
      <c r="I226" t="s" s="165">
        <v>714</v>
      </c>
      <c r="J226" t="s" s="165">
        <v>163</v>
      </c>
      <c r="K226" t="s" s="166">
        <f>CONCATENATE(D226,".",E226,".",F226,".",G226,".",H226,".",I226,".",J226)</f>
        <v>715</v>
      </c>
      <c r="L226" t="s" s="167">
        <v>716</v>
      </c>
      <c r="M226" t="s" s="168">
        <v>446</v>
      </c>
      <c r="N226" s="169"/>
      <c r="O226" s="170"/>
      <c r="P226" s="171"/>
      <c r="Q226" s="171"/>
      <c r="R226" s="171"/>
      <c r="S226" s="172"/>
    </row>
  </sheetData>
  <mergeCells count="20">
    <mergeCell ref="A1:M1"/>
    <mergeCell ref="O1:O3"/>
    <mergeCell ref="P1:P3"/>
    <mergeCell ref="Q1:Q3"/>
    <mergeCell ref="S1:S3"/>
    <mergeCell ref="R1:R3"/>
    <mergeCell ref="A2:M2"/>
    <mergeCell ref="A59:C59"/>
    <mergeCell ref="A60:S60"/>
    <mergeCell ref="A88:S88"/>
    <mergeCell ref="A104:S104"/>
    <mergeCell ref="A22:M22"/>
    <mergeCell ref="A44:M44"/>
    <mergeCell ref="A50:M50"/>
    <mergeCell ref="A122:M122"/>
    <mergeCell ref="A158:M158"/>
    <mergeCell ref="A186:M186"/>
    <mergeCell ref="A218:M218"/>
    <mergeCell ref="A222:M222"/>
    <mergeCell ref="A30:M30"/>
  </mergeCells>
  <dataValidations count="13">
    <dataValidation type="list" allowBlank="1" showInputMessage="1" showErrorMessage="1" sqref="D3">
      <formula1>"PP,PD,PE,IN,Fase"</formula1>
    </dataValidation>
    <dataValidation type="list" allowBlank="1" showInputMessage="1" showErrorMessage="1" sqref="E3">
      <formula1>"0G,1A,2S,3I,4S,7R,Disc."</formula1>
    </dataValidation>
    <dataValidation type="list" allowBlank="1" showInputMessage="1" showErrorMessage="1" sqref="F3">
      <formula1>"EDIFICIO,Edificio"</formula1>
    </dataValidation>
    <dataValidation type="list" allowBlank="1" showInputMessage="1" showErrorMessage="1" sqref="D4:D21 D23:D29 D31:D43 D45:D49 D51:D59 D61:D87 D89:D103 D105:D121 D123:D157 D159:D185 D187:D217">
      <formula1>"PP,PD,PE,IN"</formula1>
    </dataValidation>
    <dataValidation type="list" allowBlank="1" showInputMessage="1" showErrorMessage="1" sqref="E4:E21 E23:E29 E31:E43 E45:E49 E51:E58 E61:E87 E89:E103 E105:E121 E159:E185 E187:E217 E219:E221">
      <formula1>"0G,1A,2S,3I,4S,7R"</formula1>
    </dataValidation>
    <dataValidation type="list" allowBlank="1" showInputMessage="1" showErrorMessage="1" sqref="F4:F21 F23:F29 F31:F43 F45:F49 F51:F58 F61:F87 F123:F157 F159:F185 F187:F217 F219:F221 F223:F226">
      <formula1>"GN,A,B,Z,C,D,F,G,H"</formula1>
    </dataValidation>
    <dataValidation type="list" allowBlank="1" showInputMessage="1" showErrorMessage="1" sqref="G4:G21 G23:G29 G31:G43 G45:G49 G51:G58 G61:G87 G89:G103 G105:G121 G123:G157 G159:G185 G187:G217 G219:G221 G223:G226">
      <formula1>"GE,P0,P1,P2,P3,P4,P5,P6,P7,P8,P9,P10,P11,P12,P13,P14,P15,P16,P17,P18,P19,PI,PR,PC"</formula1>
    </dataValidation>
    <dataValidation type="list" allowBlank="1" showInputMessage="1" showErrorMessage="1" sqref="H4:H21 H25:H29 H37 H40:H43 H49 H55:H58">
      <formula1>"ELB,REL,CAL,SCH,VAL,CME,EPU,ANP,CRO,DIS,CSA,QTE,PLN,PNT,SEZ,PRO,ABA,CRP,ARM,MET,DET,INF,CAP,SCC,TIP"</formula1>
    </dataValidation>
    <dataValidation type="list" allowBlank="1" showInputMessage="1" showErrorMessage="1" sqref="H23:H24 H61:H87 H89:H103 H105:H121 H123:H157 H159:H185 H187:H217 H219:H221 H223:H226">
      <formula1>"ELB,REL,CAL,SCH,VAL,CME,EPU,ANP,CRO,DIS,CSA,QTE,PLN,PNT,SEZ,PRO,ABA,CRP,ARM,MET,DET"</formula1>
    </dataValidation>
    <dataValidation type="list" allowBlank="1" showInputMessage="1" showErrorMessage="1" sqref="H31:H36 H38:H39 H45:H48 H51:H54">
      <formula1>"ELB,REL,CAL,SCH,VAL,CME,EPU,ANP,CRO,DIS,CSA,QTE,PLN,PNT,SEZ,PRO,ABA,CRP,ARM,MET,DET,INF,CAP,SCC"</formula1>
    </dataValidation>
    <dataValidation type="list" allowBlank="1" showInputMessage="1" showErrorMessage="1" sqref="G59">
      <formula1>"P0,P1,P2,P3,P4,P5,P6,P7,P8,P9,P10,P11,P12,P13,P14,P15,P16,P17,P18,P19,PI,PR,PC"</formula1>
    </dataValidation>
    <dataValidation type="list" allowBlank="1" showInputMessage="1" showErrorMessage="1" sqref="F89:F103 F105:F121">
      <formula1>"GN,A,B,Z,C,D,F,G,H,BFG,CDEH"</formula1>
    </dataValidation>
    <dataValidation type="list" allowBlank="1" showInputMessage="1" showErrorMessage="1" sqref="E123:E157">
      <formula1>"0G,1A,2S,3I,4S,7R,8PI"</formula1>
    </dataValidation>
  </dataValidations>
  <pageMargins left="0.25" right="0" top="0" bottom="0.248032" header="0.0649606" footer="0.0649606"/>
  <pageSetup firstPageNumber="1" fitToHeight="1" fitToWidth="1" scale="45"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