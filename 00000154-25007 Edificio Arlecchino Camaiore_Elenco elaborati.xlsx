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192.168.0.193\server tdp srl\LAVORI\0000 AARCH\ARLECCHINO\elenco elaborati\"/>
    </mc:Choice>
  </mc:AlternateContent>
  <xr:revisionPtr revIDLastSave="0" documentId="13_ncr:1_{4AAEE639-DE48-4827-81C6-0D915A36E75E}" xr6:coauthVersionLast="36" xr6:coauthVersionMax="47" xr10:uidLastSave="{00000000-0000-0000-0000-000000000000}"/>
  <bookViews>
    <workbookView xWindow="0" yWindow="0" windowWidth="28800" windowHeight="12105" activeTab="3" xr2:uid="{00000000-000D-0000-FFFF-FFFF00000000}"/>
  </bookViews>
  <sheets>
    <sheet name="Riepilogo di esportazione" sheetId="1" r:id="rId1"/>
    <sheet name="WBS" sheetId="2" r:id="rId2"/>
    <sheet name="ELB_Esecutivo" sheetId="3" r:id="rId3"/>
    <sheet name="Elaborati Impianti" sheetId="4" r:id="rId4"/>
  </sheets>
  <calcPr calcId="191029"/>
</workbook>
</file>

<file path=xl/calcChain.xml><?xml version="1.0" encoding="utf-8"?>
<calcChain xmlns="http://schemas.openxmlformats.org/spreadsheetml/2006/main">
  <c r="K174" i="3" l="1"/>
  <c r="K172" i="3"/>
  <c r="K171" i="3"/>
  <c r="K170" i="3"/>
  <c r="K168" i="3"/>
  <c r="K167" i="3"/>
  <c r="K166" i="3"/>
  <c r="K165" i="3"/>
  <c r="K164" i="3"/>
  <c r="K163" i="3"/>
  <c r="K162" i="3"/>
  <c r="K160" i="3"/>
  <c r="K159" i="3"/>
  <c r="K158" i="3"/>
  <c r="K157" i="3"/>
  <c r="K155" i="3"/>
  <c r="K154" i="3"/>
  <c r="K153" i="3"/>
  <c r="K152" i="3"/>
  <c r="K151" i="3"/>
  <c r="K150" i="3"/>
  <c r="K149" i="3"/>
  <c r="K148" i="3"/>
  <c r="K147" i="3"/>
  <c r="K146" i="3"/>
  <c r="K145" i="3"/>
  <c r="K144" i="3"/>
  <c r="K143" i="3"/>
  <c r="K142" i="3"/>
  <c r="K141" i="3"/>
  <c r="K140" i="3"/>
  <c r="K139" i="3"/>
  <c r="K138" i="3"/>
  <c r="K137" i="3"/>
  <c r="K136" i="3"/>
  <c r="K135" i="3"/>
  <c r="K134" i="3"/>
  <c r="K133" i="3"/>
  <c r="K132" i="3"/>
  <c r="K131" i="3"/>
  <c r="K130" i="3"/>
  <c r="K129" i="3"/>
  <c r="K128" i="3"/>
  <c r="K127" i="3"/>
  <c r="K126" i="3"/>
  <c r="K125" i="3"/>
  <c r="K124" i="3"/>
  <c r="K123" i="3"/>
  <c r="K122" i="3"/>
  <c r="K121" i="3"/>
  <c r="K120" i="3"/>
  <c r="K119" i="3"/>
  <c r="K118" i="3"/>
  <c r="K117" i="3"/>
  <c r="K116" i="3"/>
  <c r="K115" i="3"/>
  <c r="K114" i="3"/>
  <c r="K113" i="3"/>
  <c r="K112" i="3"/>
  <c r="K111" i="3"/>
  <c r="K110" i="3"/>
  <c r="K109" i="3"/>
  <c r="K108" i="3"/>
  <c r="K107" i="3"/>
  <c r="K106" i="3"/>
  <c r="K104" i="3"/>
  <c r="C104" i="3"/>
  <c r="A104" i="3"/>
  <c r="K103" i="3"/>
  <c r="C103" i="3"/>
  <c r="A103" i="3"/>
  <c r="K102" i="3"/>
  <c r="C102" i="3"/>
  <c r="A102" i="3"/>
  <c r="K101" i="3"/>
  <c r="C101" i="3"/>
  <c r="A101" i="3"/>
  <c r="K100" i="3"/>
  <c r="C100" i="3"/>
  <c r="A100" i="3"/>
  <c r="K99" i="3"/>
  <c r="C99" i="3"/>
  <c r="A99" i="3"/>
  <c r="K98" i="3"/>
  <c r="C98" i="3"/>
  <c r="A98" i="3"/>
  <c r="K97" i="3"/>
  <c r="C97" i="3"/>
  <c r="A97" i="3"/>
  <c r="K96" i="3"/>
  <c r="C96" i="3"/>
  <c r="A96" i="3"/>
  <c r="K95" i="3"/>
  <c r="C95" i="3"/>
  <c r="A95" i="3"/>
  <c r="K94" i="3"/>
  <c r="C94" i="3"/>
  <c r="A94" i="3"/>
  <c r="K93" i="3"/>
  <c r="C93" i="3"/>
  <c r="A93" i="3"/>
  <c r="K92" i="3"/>
  <c r="C92" i="3"/>
  <c r="A92" i="3"/>
  <c r="K91" i="3"/>
  <c r="C91" i="3"/>
  <c r="A91" i="3"/>
  <c r="K90" i="3"/>
  <c r="C90" i="3"/>
  <c r="A90" i="3"/>
  <c r="K89" i="3"/>
  <c r="C89" i="3"/>
  <c r="A89" i="3"/>
  <c r="K88" i="3"/>
  <c r="C88" i="3"/>
  <c r="A88" i="3"/>
  <c r="K86" i="3"/>
  <c r="C86" i="3"/>
  <c r="A86" i="3"/>
  <c r="K85" i="3"/>
  <c r="C85" i="3"/>
  <c r="A85" i="3"/>
  <c r="K84" i="3"/>
  <c r="C84" i="3"/>
  <c r="A84" i="3"/>
  <c r="K83" i="3"/>
  <c r="C83" i="3"/>
  <c r="A83" i="3"/>
  <c r="K82" i="3"/>
  <c r="C82" i="3"/>
  <c r="A82" i="3"/>
  <c r="K81" i="3"/>
  <c r="C81" i="3"/>
  <c r="A81" i="3"/>
  <c r="K80" i="3"/>
  <c r="C80" i="3"/>
  <c r="A80" i="3"/>
  <c r="K79" i="3"/>
  <c r="C79" i="3"/>
  <c r="A79" i="3"/>
  <c r="K78" i="3"/>
  <c r="C78" i="3"/>
  <c r="A78" i="3"/>
  <c r="K77" i="3"/>
  <c r="C77" i="3"/>
  <c r="A77" i="3"/>
  <c r="K76" i="3"/>
  <c r="C76" i="3"/>
  <c r="A76" i="3"/>
  <c r="K75" i="3"/>
  <c r="C75" i="3"/>
  <c r="A75" i="3"/>
  <c r="K74" i="3"/>
  <c r="C74" i="3"/>
  <c r="A74" i="3"/>
  <c r="K73" i="3"/>
  <c r="C73" i="3"/>
  <c r="A73" i="3"/>
  <c r="K72" i="3"/>
  <c r="C72" i="3"/>
  <c r="A72" i="3"/>
  <c r="K70" i="3"/>
  <c r="C70" i="3"/>
  <c r="A70" i="3"/>
  <c r="K69" i="3"/>
  <c r="C69" i="3"/>
  <c r="A69" i="3"/>
  <c r="K68" i="3"/>
  <c r="C68" i="3"/>
  <c r="A68" i="3"/>
  <c r="K67" i="3"/>
  <c r="C67" i="3"/>
  <c r="A67" i="3"/>
  <c r="K66" i="3"/>
  <c r="C66" i="3"/>
  <c r="A66" i="3"/>
  <c r="K65" i="3"/>
  <c r="C65" i="3"/>
  <c r="A65" i="3"/>
  <c r="K64" i="3"/>
  <c r="C64" i="3"/>
  <c r="A64" i="3"/>
  <c r="K63" i="3"/>
  <c r="C63" i="3"/>
  <c r="A63" i="3"/>
  <c r="K62" i="3"/>
  <c r="C62" i="3"/>
  <c r="A62" i="3"/>
  <c r="K61" i="3"/>
  <c r="C61" i="3"/>
  <c r="A61" i="3"/>
  <c r="K60" i="3"/>
  <c r="C60" i="3"/>
  <c r="A60" i="3"/>
  <c r="K59" i="3"/>
  <c r="C59" i="3"/>
  <c r="A59" i="3"/>
  <c r="K58" i="3"/>
  <c r="C58" i="3"/>
  <c r="A58" i="3"/>
  <c r="K57" i="3"/>
  <c r="C57" i="3"/>
  <c r="A57" i="3"/>
  <c r="K56" i="3"/>
  <c r="C56" i="3"/>
  <c r="A56" i="3"/>
  <c r="K55" i="3"/>
  <c r="C55" i="3"/>
  <c r="A55" i="3"/>
  <c r="K54" i="3"/>
  <c r="C54" i="3"/>
  <c r="A54" i="3"/>
  <c r="K53" i="3"/>
  <c r="C53" i="3"/>
  <c r="A53" i="3"/>
  <c r="K52" i="3"/>
  <c r="C52" i="3"/>
  <c r="A52" i="3"/>
  <c r="K51" i="3"/>
  <c r="C51" i="3"/>
  <c r="A51" i="3"/>
  <c r="K50" i="3"/>
  <c r="C50" i="3"/>
  <c r="A50" i="3"/>
  <c r="K49" i="3"/>
  <c r="C49" i="3"/>
  <c r="A49" i="3"/>
  <c r="K48" i="3"/>
  <c r="C48" i="3"/>
  <c r="A48" i="3"/>
  <c r="K47" i="3"/>
  <c r="C47" i="3"/>
  <c r="A47" i="3"/>
  <c r="K46" i="3"/>
  <c r="C46" i="3"/>
  <c r="A46" i="3"/>
  <c r="K45" i="3"/>
  <c r="C45" i="3"/>
  <c r="A45" i="3"/>
  <c r="K44" i="3"/>
  <c r="C44" i="3"/>
  <c r="A44" i="3"/>
  <c r="K41" i="3"/>
  <c r="K40" i="3"/>
  <c r="K39" i="3"/>
  <c r="K38" i="3"/>
  <c r="K36" i="3"/>
  <c r="K35" i="3"/>
  <c r="K34" i="3"/>
  <c r="K33" i="3"/>
  <c r="K31" i="3"/>
  <c r="K30" i="3"/>
  <c r="K29" i="3"/>
  <c r="K28" i="3"/>
  <c r="K27" i="3"/>
  <c r="K25" i="3"/>
  <c r="K24" i="3"/>
  <c r="K23" i="3"/>
  <c r="K22" i="3"/>
  <c r="K20" i="3"/>
  <c r="K19" i="3"/>
  <c r="K18" i="3"/>
  <c r="K17" i="3"/>
  <c r="K16" i="3"/>
  <c r="K15" i="3"/>
  <c r="K14" i="3"/>
  <c r="K13" i="3"/>
  <c r="K12" i="3"/>
  <c r="K11" i="3"/>
  <c r="K10" i="3"/>
  <c r="K9" i="3"/>
  <c r="K8" i="3"/>
  <c r="K7" i="3"/>
  <c r="K6" i="3"/>
  <c r="K5" i="3"/>
  <c r="K4" i="3"/>
</calcChain>
</file>

<file path=xl/sharedStrings.xml><?xml version="1.0" encoding="utf-8"?>
<sst xmlns="http://schemas.openxmlformats.org/spreadsheetml/2006/main" count="1933" uniqueCount="489">
  <si>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</si>
  <si>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</si>
  <si>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</si>
  <si>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</si>
  <si>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WBS</t>
  </si>
  <si>
    <t>Tabella 1</t>
  </si>
  <si>
    <r>
      <rPr>
        <u/>
        <sz val="12"/>
        <color indexed="13"/>
        <rFont val="Calibri"/>
      </rPr>
      <t>WBS</t>
    </r>
  </si>
  <si>
    <t>ELB_Esecutivo</t>
  </si>
  <si>
    <r>
      <rPr>
        <u/>
        <sz val="12"/>
        <color indexed="13"/>
        <rFont val="Calibri"/>
      </rPr>
      <t>ELB_Esecutivo</t>
    </r>
  </si>
  <si>
    <t>CODICE PROGETTO</t>
  </si>
  <si>
    <t>STATO DEL PROGETTO</t>
  </si>
  <si>
    <t>AMBITO</t>
  </si>
  <si>
    <t>EDIFICIO</t>
  </si>
  <si>
    <t>LIVELLO</t>
  </si>
  <si>
    <t>TIPO DI ELABORATO</t>
  </si>
  <si>
    <t xml:space="preserve"> </t>
  </si>
  <si>
    <t>PP</t>
  </si>
  <si>
    <t>Progetto Preliminare</t>
  </si>
  <si>
    <t>0G</t>
  </si>
  <si>
    <t>Generali</t>
  </si>
  <si>
    <t>GN</t>
  </si>
  <si>
    <t>Generale</t>
  </si>
  <si>
    <t>GE</t>
  </si>
  <si>
    <t>ELB</t>
  </si>
  <si>
    <t>Elenco elaborati</t>
  </si>
  <si>
    <t>PD</t>
  </si>
  <si>
    <t>Progetto Definitivo</t>
  </si>
  <si>
    <t>1A</t>
  </si>
  <si>
    <t>Architettonici</t>
  </si>
  <si>
    <t>A</t>
  </si>
  <si>
    <t>Corpo A</t>
  </si>
  <si>
    <t>P0</t>
  </si>
  <si>
    <t>Piano Terra</t>
  </si>
  <si>
    <t>REL</t>
  </si>
  <si>
    <t>Relazione</t>
  </si>
  <si>
    <t>PE</t>
  </si>
  <si>
    <t>Progetto Esecutivo</t>
  </si>
  <si>
    <t>2S</t>
  </si>
  <si>
    <t>Strutturali</t>
  </si>
  <si>
    <t>B</t>
  </si>
  <si>
    <t>Corpo B</t>
  </si>
  <si>
    <t>P1</t>
  </si>
  <si>
    <t>Piano Primo</t>
  </si>
  <si>
    <t>CAL</t>
  </si>
  <si>
    <t>Calcoli</t>
  </si>
  <si>
    <t>IN</t>
  </si>
  <si>
    <t>Piano di indagini</t>
  </si>
  <si>
    <t>3I</t>
  </si>
  <si>
    <t>Impianti</t>
  </si>
  <si>
    <t>Z</t>
  </si>
  <si>
    <t>Colletto</t>
  </si>
  <si>
    <t>P2</t>
  </si>
  <si>
    <t>Piano Secondo</t>
  </si>
  <si>
    <t>SCH</t>
  </si>
  <si>
    <t>Schema</t>
  </si>
  <si>
    <t>4S</t>
  </si>
  <si>
    <t>Sicurezza</t>
  </si>
  <si>
    <t>C</t>
  </si>
  <si>
    <t>Corpo C</t>
  </si>
  <si>
    <t>P3</t>
  </si>
  <si>
    <t>Piano Terzo</t>
  </si>
  <si>
    <t>VAL</t>
  </si>
  <si>
    <t>Valutazioni</t>
  </si>
  <si>
    <t>7R</t>
  </si>
  <si>
    <t>Rilievo</t>
  </si>
  <si>
    <t>D</t>
  </si>
  <si>
    <t>Corpo D</t>
  </si>
  <si>
    <t>P4</t>
  </si>
  <si>
    <t>CME</t>
  </si>
  <si>
    <t>Computi Metrici</t>
  </si>
  <si>
    <t>8PI</t>
  </si>
  <si>
    <t>Prevenzione Incendi</t>
  </si>
  <si>
    <t>F</t>
  </si>
  <si>
    <t>Corpo F</t>
  </si>
  <si>
    <t>P5</t>
  </si>
  <si>
    <t>EPU</t>
  </si>
  <si>
    <t>Elenco prezzi ed Analisi</t>
  </si>
  <si>
    <t>G</t>
  </si>
  <si>
    <t>Corpo G</t>
  </si>
  <si>
    <t>P6</t>
  </si>
  <si>
    <t>ANP</t>
  </si>
  <si>
    <t>Analisi prezzi</t>
  </si>
  <si>
    <t>H</t>
  </si>
  <si>
    <t>Corpo H</t>
  </si>
  <si>
    <t>P7</t>
  </si>
  <si>
    <t>CRO</t>
  </si>
  <si>
    <t>Cronoprogramma</t>
  </si>
  <si>
    <t>BFG</t>
  </si>
  <si>
    <t>Corpi BFG</t>
  </si>
  <si>
    <t>P8</t>
  </si>
  <si>
    <t>DIS</t>
  </si>
  <si>
    <t>Disciplinare</t>
  </si>
  <si>
    <t>CDEH</t>
  </si>
  <si>
    <t>Corpi CDEH</t>
  </si>
  <si>
    <t>P9</t>
  </si>
  <si>
    <t>CSA</t>
  </si>
  <si>
    <t xml:space="preserve">Capitolato Speciale </t>
  </si>
  <si>
    <t>P10</t>
  </si>
  <si>
    <t>QTE</t>
  </si>
  <si>
    <t>Quadro tecnico economico</t>
  </si>
  <si>
    <t>P11</t>
  </si>
  <si>
    <t>PLN</t>
  </si>
  <si>
    <t>Planimetria</t>
  </si>
  <si>
    <t>P12</t>
  </si>
  <si>
    <t>PNT</t>
  </si>
  <si>
    <t>Piante</t>
  </si>
  <si>
    <t>P13</t>
  </si>
  <si>
    <t>SEZ</t>
  </si>
  <si>
    <t>Sezioni</t>
  </si>
  <si>
    <t>P14</t>
  </si>
  <si>
    <t>PRO</t>
  </si>
  <si>
    <t>Prospetti</t>
  </si>
  <si>
    <t>P15</t>
  </si>
  <si>
    <t>ABA</t>
  </si>
  <si>
    <t>Abaco</t>
  </si>
  <si>
    <t>P16</t>
  </si>
  <si>
    <t>CRP</t>
  </si>
  <si>
    <t>Carpenterie</t>
  </si>
  <si>
    <t>P17</t>
  </si>
  <si>
    <t>ARM</t>
  </si>
  <si>
    <t>Armature</t>
  </si>
  <si>
    <t>P18</t>
  </si>
  <si>
    <t>MET</t>
  </si>
  <si>
    <t xml:space="preserve"> Carpenteria Metallica</t>
  </si>
  <si>
    <t>P19</t>
  </si>
  <si>
    <t>DET</t>
  </si>
  <si>
    <t>Dettagli</t>
  </si>
  <si>
    <t>PI</t>
  </si>
  <si>
    <t>Piano Interrato</t>
  </si>
  <si>
    <t>INF</t>
  </si>
  <si>
    <t>Gestione informativa</t>
  </si>
  <si>
    <t>CAP</t>
  </si>
  <si>
    <t>SCC</t>
  </si>
  <si>
    <t>Schema di contratto</t>
  </si>
  <si>
    <t>PR</t>
  </si>
  <si>
    <t>Piano rialzato</t>
  </si>
  <si>
    <t>TIP</t>
  </si>
  <si>
    <t>Tipologico</t>
  </si>
  <si>
    <t>PC</t>
  </si>
  <si>
    <t>Copertura</t>
  </si>
  <si>
    <t>25007 Edificio Arlecchino Camaiore</t>
  </si>
  <si>
    <t>Relazione/Tavola</t>
  </si>
  <si>
    <t>Copertina/Cartiglio</t>
  </si>
  <si>
    <t>Ultima verifica</t>
  </si>
  <si>
    <t>Consegnato</t>
  </si>
  <si>
    <t>Note</t>
  </si>
  <si>
    <t>TW1923</t>
  </si>
  <si>
    <t>Disciplina</t>
  </si>
  <si>
    <t>Progetto</t>
  </si>
  <si>
    <t>Fase</t>
  </si>
  <si>
    <t>Disc.</t>
  </si>
  <si>
    <t>Edificio</t>
  </si>
  <si>
    <t>Liv.</t>
  </si>
  <si>
    <t>Tipo</t>
  </si>
  <si>
    <t>Prog.</t>
  </si>
  <si>
    <t>Rev</t>
  </si>
  <si>
    <t>Codice Elaborato</t>
  </si>
  <si>
    <t>Titolo Elaborato</t>
  </si>
  <si>
    <t>Scala</t>
  </si>
  <si>
    <t>Data consegna/revisione</t>
  </si>
  <si>
    <t>ELABORATI GENERALI</t>
  </si>
  <si>
    <t>25007</t>
  </si>
  <si>
    <t>000</t>
  </si>
  <si>
    <t>00</t>
  </si>
  <si>
    <t>Elenco degli elaborati</t>
  </si>
  <si>
    <t>-</t>
  </si>
  <si>
    <t>001</t>
  </si>
  <si>
    <t>Relazione generale</t>
  </si>
  <si>
    <t>002</t>
  </si>
  <si>
    <t xml:space="preserve">Relazione sui Criteri Ambientali Minimi (CAM) </t>
  </si>
  <si>
    <t>003</t>
  </si>
  <si>
    <t>Allegati CAM</t>
  </si>
  <si>
    <t>004</t>
  </si>
  <si>
    <t>Relazione specialistica DNSH</t>
  </si>
  <si>
    <t>005</t>
  </si>
  <si>
    <t>Piano di manutenzione</t>
  </si>
  <si>
    <t>006</t>
  </si>
  <si>
    <t>Relazione sulla gestione delle materie e rocce da scavo</t>
  </si>
  <si>
    <t>007</t>
  </si>
  <si>
    <t>Relazione sulla prevenzione incendi</t>
  </si>
  <si>
    <t>008</t>
  </si>
  <si>
    <t>Relazione requisiti acustici passivi</t>
  </si>
  <si>
    <t>009</t>
  </si>
  <si>
    <t>Relazione tecnica legge 10</t>
  </si>
  <si>
    <t>010</t>
  </si>
  <si>
    <t>Cronoprogramma dei lavori</t>
  </si>
  <si>
    <t>011</t>
  </si>
  <si>
    <t>012</t>
  </si>
  <si>
    <t>Quadro di incidenza della manodopera</t>
  </si>
  <si>
    <t>013</t>
  </si>
  <si>
    <t>Computo metrico estimativo</t>
  </si>
  <si>
    <t>014</t>
  </si>
  <si>
    <t xml:space="preserve">Elenco ed analisi prezzi unitari </t>
  </si>
  <si>
    <t>015</t>
  </si>
  <si>
    <t>Elenco prezzi unitari_Oneri della sicurezza</t>
  </si>
  <si>
    <t>016</t>
  </si>
  <si>
    <t>Computo metrico estimativo_Oneri della sicurezza</t>
  </si>
  <si>
    <t>ELABORATI DESCRITTIVI DELLE OPERE ARCHITETTONICHE</t>
  </si>
  <si>
    <t>Relazione tecnica delle opere architettoniche e requisiti igienico sanitari</t>
  </si>
  <si>
    <t>Relazione sul superamento delle barriere architettoniche</t>
  </si>
  <si>
    <t>Inquadramento urbanistico e territoriale, mappa catastale e carte dei vincoli</t>
  </si>
  <si>
    <t>Capitolato speciale d'appalto - Parte tecnica - Opere edili</t>
  </si>
  <si>
    <t>ELABORATI DESCRITTIVI DELLE OPERE STRUTTURALI</t>
  </si>
  <si>
    <t>200</t>
  </si>
  <si>
    <t>Relazione tecnica generale delle opere strutturali</t>
  </si>
  <si>
    <t>201</t>
  </si>
  <si>
    <t>01</t>
  </si>
  <si>
    <t>Relazione sui materiali delle opere strutturali</t>
  </si>
  <si>
    <t>202</t>
  </si>
  <si>
    <t>02</t>
  </si>
  <si>
    <t>Relazione sulle fondazioni  delle opere strutturali</t>
  </si>
  <si>
    <t>203</t>
  </si>
  <si>
    <t>03</t>
  </si>
  <si>
    <t>Relazione di calcolo delle opere strutturali</t>
  </si>
  <si>
    <t>204</t>
  </si>
  <si>
    <t>04</t>
  </si>
  <si>
    <t>Relazione geotecnica delle opere strutturali</t>
  </si>
  <si>
    <t>ELABORATI DESCRITTIVI DEGLI IMPIANTI ELETTRICI</t>
  </si>
  <si>
    <t>Relazione specialistica impianti elettrici</t>
  </si>
  <si>
    <t>Fascicolo di calcolo illuminotecnico</t>
  </si>
  <si>
    <t>Relazione impianto fotovoltaico</t>
  </si>
  <si>
    <t>Capitolato speciale d'appalto - Parte tecnica - Opere impiantistiche_elettrico</t>
  </si>
  <si>
    <t>ELABORATI DESCRITTIVI DEGLI IMPIANTI MECCANICI</t>
  </si>
  <si>
    <t>Relazione specialistica impianti idrico sanitario</t>
  </si>
  <si>
    <t>Relazione specialistica impianti meccanici</t>
  </si>
  <si>
    <t>Fascicolo di calcolo impianti meccanici</t>
  </si>
  <si>
    <t>Capitolato speciale d'appalto - Parte tecnica - Opere impiantistiche_meccanico</t>
  </si>
  <si>
    <t>RILIEVO</t>
  </si>
  <si>
    <t>CORPO A</t>
  </si>
  <si>
    <t>RILIEVO - CORPO A</t>
  </si>
  <si>
    <t>Piano interrato</t>
  </si>
  <si>
    <t>1:100</t>
  </si>
  <si>
    <t>Piano terra</t>
  </si>
  <si>
    <t>Piano primo</t>
  </si>
  <si>
    <t>Piano secondo</t>
  </si>
  <si>
    <t>Piano terzo</t>
  </si>
  <si>
    <t>Piano quarto</t>
  </si>
  <si>
    <t>Piano quinto</t>
  </si>
  <si>
    <t xml:space="preserve">Piano sesto </t>
  </si>
  <si>
    <t>Piano settimo</t>
  </si>
  <si>
    <t>Piano ottavo</t>
  </si>
  <si>
    <t>Piano nono</t>
  </si>
  <si>
    <t>Piano decimo</t>
  </si>
  <si>
    <t>Piano undicesimo</t>
  </si>
  <si>
    <t>Piano dodicesimo</t>
  </si>
  <si>
    <t>Piano tredicesimo</t>
  </si>
  <si>
    <t>017</t>
  </si>
  <si>
    <t>Piano quattordicesimo</t>
  </si>
  <si>
    <t>018</t>
  </si>
  <si>
    <t>Piano quindicesimo</t>
  </si>
  <si>
    <t>019</t>
  </si>
  <si>
    <t>Piano sedicesimo</t>
  </si>
  <si>
    <t>020</t>
  </si>
  <si>
    <t>Piano diciassettesimo</t>
  </si>
  <si>
    <t>021</t>
  </si>
  <si>
    <t>Piano di copertura</t>
  </si>
  <si>
    <t>022</t>
  </si>
  <si>
    <t>Prospetto Est</t>
  </si>
  <si>
    <t>023</t>
  </si>
  <si>
    <t>Prospetto Ovest</t>
  </si>
  <si>
    <t>024</t>
  </si>
  <si>
    <t>Prospetti Nord e Sud</t>
  </si>
  <si>
    <t>025</t>
  </si>
  <si>
    <t>Sezione AA</t>
  </si>
  <si>
    <t>026</t>
  </si>
  <si>
    <t>Sezione BB e CC</t>
  </si>
  <si>
    <t>027</t>
  </si>
  <si>
    <t>Sezione DD</t>
  </si>
  <si>
    <t>CORPO B / F /G</t>
  </si>
  <si>
    <t>RILIEVO - CORPO B/F/G</t>
  </si>
  <si>
    <t>Sezione BB</t>
  </si>
  <si>
    <t>Sezione CC</t>
  </si>
  <si>
    <t>CORPO C / D / E / H</t>
  </si>
  <si>
    <t>RILIEVO - CORPO C/D/H</t>
  </si>
  <si>
    <t>Piano terra - Quadrante A</t>
  </si>
  <si>
    <t>Piano terra - Quadrante B</t>
  </si>
  <si>
    <t>Piano rialzato - Quadrante  A</t>
  </si>
  <si>
    <t>Piano rialzato - Quadrante B</t>
  </si>
  <si>
    <t>Piano primo - Quadrante A</t>
  </si>
  <si>
    <t>Piano primo - Quadrante B</t>
  </si>
  <si>
    <t>Piano secondo - Quadrante A</t>
  </si>
  <si>
    <t>Piano secondo - Quadrante B</t>
  </si>
  <si>
    <t>Prospetti Nord</t>
  </si>
  <si>
    <t>Prospetti Sud</t>
  </si>
  <si>
    <t>1:101</t>
  </si>
  <si>
    <t>PROGETTO ARCHITETTONICO</t>
  </si>
  <si>
    <t>100</t>
  </si>
  <si>
    <t>Inquadramento territoriale</t>
  </si>
  <si>
    <t>1:1000</t>
  </si>
  <si>
    <t>101</t>
  </si>
  <si>
    <t>Inquadramento lotto</t>
  </si>
  <si>
    <t>102</t>
  </si>
  <si>
    <t>Stato attuale - Pianta piano interrato</t>
  </si>
  <si>
    <t>1:50</t>
  </si>
  <si>
    <t>103</t>
  </si>
  <si>
    <t xml:space="preserve">Stato attuale - Pianta piano terra  </t>
  </si>
  <si>
    <t>104</t>
  </si>
  <si>
    <t xml:space="preserve">Stato attuale - Pianta piano primo  </t>
  </si>
  <si>
    <t>105</t>
  </si>
  <si>
    <t xml:space="preserve">Stato attuale - Pianta piano secondo </t>
  </si>
  <si>
    <t>106</t>
  </si>
  <si>
    <t xml:space="preserve">Stato attuale - Copertura  </t>
  </si>
  <si>
    <t>107</t>
  </si>
  <si>
    <t>Stato attuale - Sezione  AA’ e BB’</t>
  </si>
  <si>
    <t>108</t>
  </si>
  <si>
    <t>Stato attuale - Prospetti Nord e Sud</t>
  </si>
  <si>
    <t>109</t>
  </si>
  <si>
    <t>Stato attuale - Prospetti Est e Ovest</t>
  </si>
  <si>
    <t>110</t>
  </si>
  <si>
    <t>Sovrapposto - Pianta piano interrato</t>
  </si>
  <si>
    <t>111</t>
  </si>
  <si>
    <t>Sovrapposto - Pianta piano terra</t>
  </si>
  <si>
    <t>112</t>
  </si>
  <si>
    <t>Sovrapposto - Pianta piano primo</t>
  </si>
  <si>
    <t>113</t>
  </si>
  <si>
    <t>Sovrapposto - Pianta piano secondo</t>
  </si>
  <si>
    <t>114</t>
  </si>
  <si>
    <t>Sovrapposto - Pianta piano copertura</t>
  </si>
  <si>
    <t>115</t>
  </si>
  <si>
    <t>Sovrapposto  - Prospetti Nord e Sud</t>
  </si>
  <si>
    <t>116</t>
  </si>
  <si>
    <t>Sovrapposto  - Prospetti Est e Ovest</t>
  </si>
  <si>
    <t>117</t>
  </si>
  <si>
    <t>Sovrapposto  - Sezioni AA e BB</t>
  </si>
  <si>
    <t>118</t>
  </si>
  <si>
    <t>Sovrapposto  - Sezioni CC e DD</t>
  </si>
  <si>
    <t>119</t>
  </si>
  <si>
    <t xml:space="preserve">Progetto - Pianta piano interrato  - Funzioni e arredi </t>
  </si>
  <si>
    <t>120</t>
  </si>
  <si>
    <t>Progetto - Pianta piano terra   - Funzioni e arredi</t>
  </si>
  <si>
    <t>121</t>
  </si>
  <si>
    <t>Progetto - Pianta piano primo   - Funzioni e arredi</t>
  </si>
  <si>
    <t>122</t>
  </si>
  <si>
    <t>Progetto - Pianta piano secondo - Funzioni e arredi</t>
  </si>
  <si>
    <t>123</t>
  </si>
  <si>
    <t>Progetto - Pianta piano copertura - Funzioni e arredi</t>
  </si>
  <si>
    <t>124</t>
  </si>
  <si>
    <t>Progetto - Pianta piano interrato</t>
  </si>
  <si>
    <t>125</t>
  </si>
  <si>
    <t xml:space="preserve">Progetto - Pianta piano terra  </t>
  </si>
  <si>
    <t>126</t>
  </si>
  <si>
    <t xml:space="preserve">Progetto - Pianta piano primo  </t>
  </si>
  <si>
    <t>127</t>
  </si>
  <si>
    <t>Progetto - Pianta piano secondo</t>
  </si>
  <si>
    <t>128</t>
  </si>
  <si>
    <t xml:space="preserve">Progetto - Pianta piano copertura  </t>
  </si>
  <si>
    <t>129</t>
  </si>
  <si>
    <t>Progetto - Prospetti Nord e Sud</t>
  </si>
  <si>
    <t>130</t>
  </si>
  <si>
    <t>Progetto - Prospetti Est e Ovest</t>
  </si>
  <si>
    <t>131</t>
  </si>
  <si>
    <t>Progetto - Sezioni AA’ e BB</t>
  </si>
  <si>
    <t>132</t>
  </si>
  <si>
    <t>Progetto - Sezioni CC’ e DD’</t>
  </si>
  <si>
    <t>133</t>
  </si>
  <si>
    <t>Progetto - Pianta piano interrato - Finiture</t>
  </si>
  <si>
    <t>134</t>
  </si>
  <si>
    <t>Progetto - Pianta piano terra - Finiture</t>
  </si>
  <si>
    <t>135</t>
  </si>
  <si>
    <t>Progetto - Pianta piano primo - Finiture</t>
  </si>
  <si>
    <t>136</t>
  </si>
  <si>
    <t>Progetto - Pianta piano secondo - Finiture</t>
  </si>
  <si>
    <t>137</t>
  </si>
  <si>
    <t>Progetto - Pianta piano copertura - Finiture</t>
  </si>
  <si>
    <t>138</t>
  </si>
  <si>
    <t>Progetto - Pianta piano interrato - Controsoffitti</t>
  </si>
  <si>
    <t>139</t>
  </si>
  <si>
    <t>Progetto - Pianta piano terra - Controsoffitti</t>
  </si>
  <si>
    <t>140</t>
  </si>
  <si>
    <t>Progetto - Pianta piano primo - Controsoffitti</t>
  </si>
  <si>
    <t>141</t>
  </si>
  <si>
    <t>Progetto - Pianta piano secondo - Controsoffitti</t>
  </si>
  <si>
    <t>142</t>
  </si>
  <si>
    <t xml:space="preserve">Superamento barriere architettoniche - Pianta piano interrato </t>
  </si>
  <si>
    <t>143</t>
  </si>
  <si>
    <t xml:space="preserve">Superamento barriere architettoniche - Pianta piano terra  </t>
  </si>
  <si>
    <t>144</t>
  </si>
  <si>
    <t xml:space="preserve">Superamento barriere architettoniche - Pianta piano primo  </t>
  </si>
  <si>
    <t>145</t>
  </si>
  <si>
    <t>Superamento barriere architettoniche - Pianta piano secondo</t>
  </si>
  <si>
    <t>146</t>
  </si>
  <si>
    <t>Abaco stratigrafie - Orizzontali e verticali</t>
  </si>
  <si>
    <t>1:10</t>
  </si>
  <si>
    <t>147</t>
  </si>
  <si>
    <t>Abaco infissi - Interni ed esterni</t>
  </si>
  <si>
    <t>148</t>
  </si>
  <si>
    <t xml:space="preserve">Particolari costruttivi 01  </t>
  </si>
  <si>
    <t>149</t>
  </si>
  <si>
    <t>Particolari costruttivi 02</t>
  </si>
  <si>
    <t>PROGETTO STRUTTURALE</t>
  </si>
  <si>
    <t>PROGETTO IMPIANTI ELETTRICI E MECCANICI</t>
  </si>
  <si>
    <t>PROGETTO IMPIANTI</t>
  </si>
  <si>
    <t>300</t>
  </si>
  <si>
    <t>301</t>
  </si>
  <si>
    <t>302</t>
  </si>
  <si>
    <t>303</t>
  </si>
  <si>
    <t>304</t>
  </si>
  <si>
    <t>305</t>
  </si>
  <si>
    <t>306</t>
  </si>
  <si>
    <t>SICUREZZA</t>
  </si>
  <si>
    <t>PROGETTO SICUREZZA</t>
  </si>
  <si>
    <t>400</t>
  </si>
  <si>
    <t>Layout di cantiere</t>
  </si>
  <si>
    <t>401</t>
  </si>
  <si>
    <t>Piano della sicurezza e coordinamento</t>
  </si>
  <si>
    <t>402</t>
  </si>
  <si>
    <t xml:space="preserve">Fascicolo della sicurezza </t>
  </si>
  <si>
    <t>PREVENZIONE INCENDI</t>
  </si>
  <si>
    <t>800</t>
  </si>
  <si>
    <t>Prevenzione incendi</t>
  </si>
  <si>
    <t>Titolo</t>
  </si>
  <si>
    <t>EL-B01</t>
  </si>
  <si>
    <t>Relazione tecnica impianti elettrici e speciali</t>
  </si>
  <si>
    <t>EL-B02</t>
  </si>
  <si>
    <t>Relazione tecnica impianto fotovoltaico</t>
  </si>
  <si>
    <t>EL-B03</t>
  </si>
  <si>
    <t>Relazione tecnica rischio fulminazione</t>
  </si>
  <si>
    <t>EL-B04</t>
  </si>
  <si>
    <t>Relazione verifiche illuminotecniche</t>
  </si>
  <si>
    <t>Relazione Tecnica Impianti Meccanici</t>
  </si>
  <si>
    <t>Relazione Tecnica contenimento energetico ex L10</t>
  </si>
  <si>
    <t>IM-EL-03</t>
  </si>
  <si>
    <t>Piano di Manutenzione Impianti Meccanici Elettrici</t>
  </si>
  <si>
    <t>EL-C04-01</t>
  </si>
  <si>
    <t>EL-C04-02</t>
  </si>
  <si>
    <t>EL-C04-03</t>
  </si>
  <si>
    <t>EL-C04-04</t>
  </si>
  <si>
    <t>EL-C04-06</t>
  </si>
  <si>
    <t>EL-C04-07</t>
  </si>
  <si>
    <t>EL-C04-08</t>
  </si>
  <si>
    <t>EL-C04-09</t>
  </si>
  <si>
    <t>EL-C04-11</t>
  </si>
  <si>
    <t>EL-C04-12</t>
  </si>
  <si>
    <t>EL-C04-13</t>
  </si>
  <si>
    <t>Planimetria Impianti Illuminazione Piano Interrato</t>
  </si>
  <si>
    <t>Planimetria Impianti Illuminazione Piano Terra</t>
  </si>
  <si>
    <t>Planimetria Impianti Illuminazione Piano Primo</t>
  </si>
  <si>
    <t>Planimetria Impianti Illuminazione Piano Secondo</t>
  </si>
  <si>
    <t>Planimetria_Forza_Motrice_e_dati_Piano_Interrato</t>
  </si>
  <si>
    <t>Planimetria_Forza_Motrice_e_dati_Piano_Terra</t>
  </si>
  <si>
    <t>Planimetria_Forza_Motrice_e_dati_Piano_Primo</t>
  </si>
  <si>
    <t>Planimetria_Forza_Motrice_e_dati_Piano_Secondo</t>
  </si>
  <si>
    <t>Impianti_Elettrici_Planimetria_Rivelazione_allarme_Incendi_Piano_Interrato</t>
  </si>
  <si>
    <t>EL-C04-14</t>
  </si>
  <si>
    <t>Impianti_Elettrici_Planimetria_Rivelazioni_allarme_Incendi_Piano_Terra</t>
  </si>
  <si>
    <t>Impianti_Elettrici_Planimetria_Rivelazioni_allarme_Incendi_Piano_Primo</t>
  </si>
  <si>
    <t>Impianti_Elettrici_Planimetria_Rivelazioni_allarme_Incendi_Piano_Secondo</t>
  </si>
  <si>
    <t>EL-C04-SB</t>
  </si>
  <si>
    <t>EL-C04-SE</t>
  </si>
  <si>
    <t>Schema a blocchi impianti elettrici</t>
  </si>
  <si>
    <t>Schemi elettrici unifilari</t>
  </si>
  <si>
    <t>IMPIANTI ELETTRICI</t>
  </si>
  <si>
    <t>IMPIANTI MECCANICI</t>
  </si>
  <si>
    <t>IM-C03-01</t>
  </si>
  <si>
    <t>IM-C03-02</t>
  </si>
  <si>
    <t>IM-C03-03</t>
  </si>
  <si>
    <t>IM-C03-04</t>
  </si>
  <si>
    <t>IM-C03-06</t>
  </si>
  <si>
    <t>IM-C03-07</t>
  </si>
  <si>
    <t>IM-C03-08</t>
  </si>
  <si>
    <t>IM-C03-09</t>
  </si>
  <si>
    <t>IM-C03-11</t>
  </si>
  <si>
    <t>IM-C03-12</t>
  </si>
  <si>
    <t>IM-C03-13</t>
  </si>
  <si>
    <t>IM-C03-14</t>
  </si>
  <si>
    <t>Schema_Funzionale_Impianti_Meccanici</t>
  </si>
  <si>
    <t>Parte_Aeraulica_Planimetria_Piano_Interrato</t>
  </si>
  <si>
    <t>Parte_Aeraulica_Planimetria_Piano_Terra</t>
  </si>
  <si>
    <t>Parte_Aeraulica_Planimetria_Piano_Primo</t>
  </si>
  <si>
    <t>Parte_Aeraulica_Planimetria_Piano_Secondo</t>
  </si>
  <si>
    <t>IM-C03-05</t>
  </si>
  <si>
    <t>Parte_Idronica_Planimetria_Piano_Interrato</t>
  </si>
  <si>
    <t>Parte_Idronica_Planimetria_Piano_Terra</t>
  </si>
  <si>
    <t>Parte_Idronica_Planimetria_Piano_Primo</t>
  </si>
  <si>
    <t>Parte_Idronica_Planimetria_Piano_Secondo</t>
  </si>
  <si>
    <t>Parte_idrico_sanitaria e idrica antincendio_Planimetria_Piano_Interrato</t>
  </si>
  <si>
    <t>Parte_idrico_sanitaria e idrica antincendio_Planimetria_Piano_Terra</t>
  </si>
  <si>
    <t>Parte_idrico_sanitaria e idrica antincendio_Planimetria_Piano_Primo</t>
  </si>
  <si>
    <t>Parte_idrico_sanitaria e idrica antincendio_Planimetria_Piano_Secondo</t>
  </si>
  <si>
    <t>Schema_Funzionale_Impianti_idrici_antincendio</t>
  </si>
  <si>
    <t>IM-C03-15</t>
  </si>
  <si>
    <t>Planimetria_Esterni_Sonde_Geotermiche</t>
  </si>
  <si>
    <t>IM-C03-10</t>
  </si>
  <si>
    <t>IM-B02-01</t>
  </si>
  <si>
    <t>IM-B03</t>
  </si>
  <si>
    <t>IM-C03-16</t>
  </si>
  <si>
    <t>Schema Funzionale contabilizzazione calore</t>
  </si>
  <si>
    <t>EL-C04-BMS</t>
  </si>
  <si>
    <t>Schemi e particolari Impianto BMS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</si>
</sst>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indexed="8"/>
      <name val="Calibri"/>
    </font>
    <font>
      <sz val="12"/>
      <color indexed="8"/>
      <name val="Calibri"/>
    </font>
    <font>
      <sz val="14"/>
      <color indexed="8"/>
      <name val="Calibri"/>
    </font>
    <font>
      <u/>
      <sz val="12"/>
      <color indexed="13"/>
      <name val="Calibri"/>
    </font>
    <font>
      <b/>
      <sz val="9"/>
      <color indexed="8"/>
      <name val="Barlow"/>
    </font>
    <font>
      <sz val="10"/>
      <color indexed="8"/>
      <name val="Barlow"/>
    </font>
    <font>
      <sz val="11"/>
      <color indexed="8"/>
      <name val="Barlow"/>
    </font>
    <font>
      <sz val="10"/>
      <color indexed="8"/>
      <name val="Arial"/>
    </font>
    <font>
      <sz val="11"/>
      <color indexed="8"/>
      <name val="Arial Narrow"/>
    </font>
    <font>
      <b/>
      <sz val="11"/>
      <color indexed="8"/>
      <name val="Arial Narrow"/>
    </font>
    <font>
      <b/>
      <sz val="16"/>
      <color indexed="8"/>
      <name val="Barlow"/>
    </font>
    <font>
      <b/>
      <sz val="12"/>
      <color indexed="8"/>
      <name val="Barlow"/>
    </font>
    <font>
      <b/>
      <sz val="12"/>
      <color indexed="10"/>
      <name val="Barlow"/>
    </font>
    <font>
      <b/>
      <i/>
      <sz val="12"/>
      <color indexed="8"/>
      <name val="Barlow"/>
    </font>
    <font>
      <sz val="9"/>
      <color indexed="19"/>
      <name val="Barlow"/>
    </font>
    <font>
      <sz val="10"/>
      <color indexed="20"/>
      <name val="Barlow"/>
    </font>
    <font>
      <sz val="12"/>
      <color indexed="8"/>
      <name val="Barlow"/>
    </font>
    <font>
      <sz val="12"/>
      <color indexed="10"/>
      <name val="Barlow"/>
    </font>
    <font>
      <i/>
      <sz val="9"/>
      <color indexed="19"/>
      <name val="Barlow"/>
    </font>
    <font>
      <i/>
      <sz val="12"/>
      <color indexed="8"/>
      <name val="Barlow"/>
    </font>
    <font>
      <i/>
      <sz val="12"/>
      <color indexed="10"/>
      <name val="Barlow"/>
    </font>
    <font>
      <sz val="12"/>
      <color indexed="22"/>
      <name val="Barlow"/>
    </font>
    <font>
      <b/>
      <sz val="8"/>
      <color indexed="8"/>
      <name val="Barlow"/>
    </font>
    <font>
      <sz val="12"/>
      <color indexed="18"/>
      <name val="Barlow"/>
    </font>
    <font>
      <sz val="9"/>
      <color indexed="8"/>
      <name val="Barlow"/>
    </font>
    <font>
      <b/>
      <sz val="11"/>
      <color indexed="8"/>
      <name val="Calibri"/>
      <family val="2"/>
    </font>
    <font>
      <sz val="11"/>
      <color indexed="8"/>
      <name val="Calibri"/>
      <family val="2"/>
    </font>
  </fonts>
  <fills count="10">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21"/>
        <bgColor auto="1"/>
      </patternFill>
    </fill>
    <fill>
      <patternFill patternType="solid">
        <fgColor indexed="23"/>
        <bgColor auto="1"/>
      </patternFill>
    </fill>
  </fills>
  <borders count="86">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top/>
      <bottom/>
      <diagonal/>
    </border>
    <border>
      <left/>
      <right style="thin">
        <color indexed="9"/>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9"/>
      </right>
      <top style="medium">
        <color indexed="8"/>
      </top>
      <bottom style="medium">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9"/>
      </right>
      <top style="medium">
        <color indexed="8"/>
      </top>
      <bottom style="thin">
        <color indexed="8"/>
      </bottom>
      <diagonal/>
    </border>
    <border>
      <left style="thin">
        <color indexed="9"/>
      </left>
      <right style="medium">
        <color indexed="8"/>
      </right>
      <top style="medium">
        <color indexed="8"/>
      </top>
      <bottom style="thin">
        <color indexed="9"/>
      </bottom>
      <diagonal/>
    </border>
    <border>
      <left style="thin">
        <color indexed="8"/>
      </left>
      <right style="thin">
        <color indexed="9"/>
      </right>
      <top style="thin">
        <color indexed="8"/>
      </top>
      <bottom style="thin">
        <color indexed="8"/>
      </bottom>
      <diagonal/>
    </border>
    <border>
      <left style="thin">
        <color indexed="9"/>
      </left>
      <right style="medium">
        <color indexed="8"/>
      </right>
      <top style="thin">
        <color indexed="9"/>
      </top>
      <bottom style="thin">
        <color indexed="9"/>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9"/>
      </left>
      <right style="thin">
        <color indexed="9"/>
      </right>
      <top style="thin">
        <color indexed="9"/>
      </top>
      <bottom style="thin">
        <color indexed="9"/>
      </bottom>
      <diagonal/>
    </border>
    <border>
      <left style="thin">
        <color indexed="9"/>
      </left>
      <right style="thin">
        <color indexed="9"/>
      </right>
      <top style="medium">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9"/>
      </top>
      <bottom style="thin">
        <color indexed="8"/>
      </bottom>
      <diagonal/>
    </border>
    <border>
      <left style="thin">
        <color indexed="9"/>
      </left>
      <right style="medium">
        <color indexed="8"/>
      </right>
      <top style="thin">
        <color indexed="8"/>
      </top>
      <bottom style="thin">
        <color indexed="8"/>
      </bottom>
      <diagonal/>
    </border>
    <border>
      <left style="medium">
        <color indexed="8"/>
      </left>
      <right style="thin">
        <color indexed="8"/>
      </right>
      <top style="thin">
        <color indexed="8"/>
      </top>
      <bottom style="thin">
        <color indexed="9"/>
      </bottom>
      <diagonal/>
    </border>
    <border>
      <left style="thin">
        <color indexed="8"/>
      </left>
      <right style="thin">
        <color indexed="9"/>
      </right>
      <top style="thin">
        <color indexed="8"/>
      </top>
      <bottom style="thin">
        <color indexed="9"/>
      </bottom>
      <diagonal/>
    </border>
    <border>
      <left style="medium">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medium">
        <color indexed="8"/>
      </left>
      <right style="thin">
        <color indexed="8"/>
      </right>
      <top style="thin">
        <color indexed="9"/>
      </top>
      <bottom style="medium">
        <color indexed="8"/>
      </bottom>
      <diagonal/>
    </border>
    <border>
      <left style="thin">
        <color indexed="8"/>
      </left>
      <right style="thin">
        <color indexed="9"/>
      </right>
      <top style="thin">
        <color indexed="9"/>
      </top>
      <bottom style="medium">
        <color indexed="8"/>
      </bottom>
      <diagonal/>
    </border>
    <border>
      <left style="medium">
        <color indexed="8"/>
      </left>
      <right style="thin">
        <color indexed="9"/>
      </right>
      <top style="medium">
        <color indexed="8"/>
      </top>
      <bottom style="thin">
        <color indexed="9"/>
      </bottom>
      <diagonal/>
    </border>
    <border>
      <left style="medium">
        <color indexed="8"/>
      </left>
      <right/>
      <top style="medium">
        <color indexed="8"/>
      </top>
      <bottom style="thin">
        <color indexed="15"/>
      </bottom>
      <diagonal/>
    </border>
    <border>
      <left/>
      <right/>
      <top style="medium">
        <color indexed="8"/>
      </top>
      <bottom style="thin">
        <color indexed="15"/>
      </bottom>
      <diagonal/>
    </border>
    <border>
      <left/>
      <right style="thin">
        <color indexed="8"/>
      </right>
      <top style="medium">
        <color indexed="8"/>
      </top>
      <bottom style="thin">
        <color indexed="15"/>
      </bottom>
      <diagonal/>
    </border>
    <border>
      <left style="thin">
        <color indexed="8"/>
      </left>
      <right style="medium">
        <color indexed="8"/>
      </right>
      <top style="medium">
        <color indexed="8"/>
      </top>
      <bottom style="thin">
        <color indexed="15"/>
      </bottom>
      <diagonal/>
    </border>
    <border>
      <left style="medium">
        <color indexed="8"/>
      </left>
      <right style="thin">
        <color indexed="15"/>
      </right>
      <top style="medium">
        <color indexed="8"/>
      </top>
      <bottom/>
      <diagonal/>
    </border>
    <border>
      <left style="thin">
        <color indexed="15"/>
      </left>
      <right style="thin">
        <color indexed="15"/>
      </right>
      <top style="medium">
        <color indexed="8"/>
      </top>
      <bottom/>
      <diagonal/>
    </border>
    <border>
      <left style="thin">
        <color indexed="15"/>
      </left>
      <right style="medium">
        <color indexed="8"/>
      </right>
      <top style="medium">
        <color indexed="8"/>
      </top>
      <bottom/>
      <diagonal/>
    </border>
    <border>
      <left style="medium">
        <color indexed="8"/>
      </left>
      <right/>
      <top style="thin">
        <color indexed="15"/>
      </top>
      <bottom style="thin">
        <color indexed="15"/>
      </bottom>
      <diagonal/>
    </border>
    <border>
      <left/>
      <right/>
      <top style="thin">
        <color indexed="15"/>
      </top>
      <bottom style="thin">
        <color indexed="15"/>
      </bottom>
      <diagonal/>
    </border>
    <border>
      <left/>
      <right style="thin">
        <color indexed="8"/>
      </right>
      <top style="thin">
        <color indexed="15"/>
      </top>
      <bottom style="thin">
        <color indexed="15"/>
      </bottom>
      <diagonal/>
    </border>
    <border>
      <left style="thin">
        <color indexed="8"/>
      </left>
      <right style="medium">
        <color indexed="8"/>
      </right>
      <top style="thin">
        <color indexed="15"/>
      </top>
      <bottom style="thin">
        <color indexed="15"/>
      </bottom>
      <diagonal/>
    </border>
    <border>
      <left style="medium">
        <color indexed="8"/>
      </left>
      <right style="thin">
        <color indexed="15"/>
      </right>
      <top/>
      <bottom/>
      <diagonal/>
    </border>
    <border>
      <left style="thin">
        <color indexed="15"/>
      </left>
      <right style="thin">
        <color indexed="15"/>
      </right>
      <top/>
      <bottom/>
      <diagonal/>
    </border>
    <border>
      <left style="thin">
        <color indexed="15"/>
      </left>
      <right style="medium">
        <color indexed="8"/>
      </right>
      <top/>
      <bottom/>
      <diagonal/>
    </border>
    <border>
      <left style="medium">
        <color indexed="8"/>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8"/>
      </bottom>
      <diagonal/>
    </border>
    <border>
      <left style="thin">
        <color indexed="15"/>
      </left>
      <right style="thin">
        <color indexed="8"/>
      </right>
      <top style="thin">
        <color indexed="15"/>
      </top>
      <bottom style="thin">
        <color indexed="18"/>
      </bottom>
      <diagonal/>
    </border>
    <border>
      <left style="medium">
        <color indexed="8"/>
      </left>
      <right style="thin">
        <color indexed="15"/>
      </right>
      <top/>
      <bottom style="thin">
        <color indexed="15"/>
      </bottom>
      <diagonal/>
    </border>
    <border>
      <left style="thin">
        <color indexed="15"/>
      </left>
      <right style="thin">
        <color indexed="15"/>
      </right>
      <top/>
      <bottom style="thin">
        <color indexed="15"/>
      </bottom>
      <diagonal/>
    </border>
    <border>
      <left style="thin">
        <color indexed="15"/>
      </left>
      <right style="medium">
        <color indexed="8"/>
      </right>
      <top/>
      <bottom style="thin">
        <color indexed="15"/>
      </bottom>
      <diagonal/>
    </border>
    <border>
      <left style="medium">
        <color indexed="8"/>
      </left>
      <right style="thin">
        <color indexed="18"/>
      </right>
      <top style="thin">
        <color indexed="15"/>
      </top>
      <bottom style="thin">
        <color indexed="15"/>
      </bottom>
      <diagonal/>
    </border>
    <border>
      <left style="thin">
        <color indexed="18"/>
      </left>
      <right style="thin">
        <color indexed="18"/>
      </right>
      <top style="thin">
        <color indexed="18"/>
      </top>
      <bottom style="thin">
        <color indexed="18"/>
      </bottom>
      <diagonal/>
    </border>
    <border>
      <left style="thin">
        <color indexed="18"/>
      </left>
      <right style="medium">
        <color indexed="8"/>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medium">
        <color indexed="8"/>
      </right>
      <top style="thin">
        <color indexed="15"/>
      </top>
      <bottom style="thin">
        <color indexed="15"/>
      </bottom>
      <diagonal/>
    </border>
    <border>
      <left style="medium">
        <color indexed="8"/>
      </left>
      <right style="thin">
        <color indexed="18"/>
      </right>
      <top style="thin">
        <color indexed="15"/>
      </top>
      <bottom style="thin">
        <color indexed="8"/>
      </bottom>
      <diagonal/>
    </border>
    <border>
      <left style="medium">
        <color indexed="8"/>
      </left>
      <right style="thin">
        <color indexed="15"/>
      </right>
      <top style="thin">
        <color indexed="15"/>
      </top>
      <bottom style="thin">
        <color indexed="8"/>
      </bottom>
      <diagonal/>
    </border>
    <border>
      <left style="thin">
        <color indexed="15"/>
      </left>
      <right style="thin">
        <color indexed="15"/>
      </right>
      <top style="thin">
        <color indexed="15"/>
      </top>
      <bottom style="thin">
        <color indexed="8"/>
      </bottom>
      <diagonal/>
    </border>
    <border>
      <left style="thin">
        <color indexed="15"/>
      </left>
      <right style="medium">
        <color indexed="8"/>
      </right>
      <top style="thin">
        <color indexed="15"/>
      </top>
      <bottom style="thin">
        <color indexed="8"/>
      </bottom>
      <diagonal/>
    </border>
    <border>
      <left style="thin">
        <color indexed="8"/>
      </left>
      <right/>
      <top style="thin">
        <color indexed="8"/>
      </top>
      <bottom style="thin">
        <color indexed="8"/>
      </bottom>
      <diagonal/>
    </border>
    <border>
      <left/>
      <right/>
      <top style="thin">
        <color indexed="18"/>
      </top>
      <bottom style="thin">
        <color indexed="1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style="thin">
        <color indexed="18"/>
      </right>
      <top style="thin">
        <color indexed="8"/>
      </top>
      <bottom style="thin">
        <color indexed="15"/>
      </bottom>
      <diagonal/>
    </border>
    <border>
      <left style="medium">
        <color indexed="8"/>
      </left>
      <right style="thin">
        <color indexed="15"/>
      </right>
      <top style="thin">
        <color indexed="8"/>
      </top>
      <bottom style="thin">
        <color indexed="15"/>
      </bottom>
      <diagonal/>
    </border>
    <border>
      <left style="thin">
        <color indexed="15"/>
      </left>
      <right style="thin">
        <color indexed="15"/>
      </right>
      <top style="thin">
        <color indexed="8"/>
      </top>
      <bottom style="thin">
        <color indexed="15"/>
      </bottom>
      <diagonal/>
    </border>
    <border>
      <left style="thin">
        <color indexed="15"/>
      </left>
      <right style="medium">
        <color indexed="8"/>
      </right>
      <top style="thin">
        <color indexed="8"/>
      </top>
      <bottom style="thin">
        <color indexed="15"/>
      </bottom>
      <diagonal/>
    </border>
    <border>
      <left style="thin">
        <color indexed="8"/>
      </left>
      <right style="thin">
        <color indexed="8"/>
      </right>
      <top style="thin">
        <color indexed="18"/>
      </top>
      <bottom style="thin">
        <color indexed="18"/>
      </bottom>
      <diagonal/>
    </border>
    <border>
      <left style="thin">
        <color indexed="8"/>
      </left>
      <right style="thin">
        <color indexed="8"/>
      </right>
      <top style="thin">
        <color indexed="15"/>
      </top>
      <bottom style="thin">
        <color indexed="15"/>
      </bottom>
      <diagonal/>
    </border>
    <border>
      <left style="thin">
        <color indexed="8"/>
      </left>
      <right style="thin">
        <color indexed="8"/>
      </right>
      <top style="thin">
        <color indexed="8"/>
      </top>
      <bottom style="thin">
        <color indexed="8"/>
      </bottom>
      <diagonal/>
    </border>
    <border>
      <left style="medium">
        <color indexed="8"/>
      </left>
      <right/>
      <top style="thin">
        <color indexed="8"/>
      </top>
      <bottom style="thin">
        <color indexed="8"/>
      </bottom>
      <diagonal/>
    </border>
    <border>
      <left/>
      <right style="thin">
        <color indexed="9"/>
      </right>
      <top style="thin">
        <color indexed="8"/>
      </top>
      <bottom style="thin">
        <color indexed="8"/>
      </bottom>
      <diagonal/>
    </border>
    <border>
      <left style="thin">
        <color indexed="8"/>
      </left>
      <right style="thin">
        <color indexed="9"/>
      </right>
      <top style="thin">
        <color indexed="15"/>
      </top>
      <bottom style="thin">
        <color indexed="15"/>
      </bottom>
      <diagonal/>
    </border>
    <border>
      <left style="thin">
        <color indexed="9"/>
      </left>
      <right style="thin">
        <color indexed="9"/>
      </right>
      <top style="thin">
        <color indexed="8"/>
      </top>
      <bottom style="thin">
        <color indexed="8"/>
      </bottom>
      <diagonal/>
    </border>
    <border>
      <left style="thin">
        <color indexed="18"/>
      </left>
      <right style="thin">
        <color indexed="8"/>
      </right>
      <top style="thin">
        <color indexed="18"/>
      </top>
      <bottom style="thin">
        <color indexed="18"/>
      </bottom>
      <diagonal/>
    </border>
    <border>
      <left/>
      <right/>
      <top style="thin">
        <color indexed="15"/>
      </top>
      <bottom style="thin">
        <color indexed="18"/>
      </bottom>
      <diagonal/>
    </border>
    <border>
      <left style="thin">
        <color indexed="18"/>
      </left>
      <right style="thin">
        <color indexed="15"/>
      </right>
      <top style="thin">
        <color indexed="8"/>
      </top>
      <bottom style="thin">
        <color indexed="15"/>
      </bottom>
      <diagonal/>
    </border>
    <border>
      <left style="thin">
        <color indexed="18"/>
      </left>
      <right style="thin">
        <color indexed="15"/>
      </right>
      <top style="thin">
        <color indexed="15"/>
      </top>
      <bottom style="thin">
        <color indexed="15"/>
      </bottom>
      <diagonal/>
    </border>
    <border>
      <left style="thin">
        <color indexed="18"/>
      </left>
      <right style="thin">
        <color indexed="15"/>
      </right>
      <top style="thin">
        <color indexed="15"/>
      </top>
      <bottom style="thin">
        <color indexed="8"/>
      </bottom>
      <diagonal/>
    </border>
    <border>
      <left/>
      <right/>
      <top style="thin">
        <color indexed="18"/>
      </top>
      <bottom style="thin">
        <color indexed="15"/>
      </bottom>
      <diagonal/>
    </border>
    <border>
      <left style="thin">
        <color indexed="18"/>
      </left>
      <right style="medium">
        <color indexed="8"/>
      </right>
      <top style="thin">
        <color indexed="15"/>
      </top>
      <bottom style="thin">
        <color indexed="8"/>
      </bottom>
      <diagonal/>
    </border>
  </borders>
  <cellStyleXfs count="1">
    <xf numFmtId="0" fontId="0" fillId="0" borderId="0" applyNumberFormat="0" applyFill="0" applyBorder="0" applyProtection="0"/>
  </cellStyleXfs>
  <cellXfs count="171">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49" fontId="2" fillId="0" borderId="5" xfId="0" applyNumberFormat="1" applyFont="1" applyBorder="1" applyAlignment="1">
      <alignment horizontal="left"/>
    </xf>
    <xf numFmtId="49" fontId="1" fillId="3" borderId="5" xfId="0" applyNumberFormat="1" applyFont="1" applyFill="1" applyBorder="1" applyAlignment="1">
      <alignment horizontal="left"/>
    </xf>
    <xf numFmtId="0" fontId="1" fillId="3" borderId="5" xfId="0" applyFont="1" applyFill="1" applyBorder="1" applyAlignment="1">
      <alignment horizontal="left"/>
    </xf>
    <xf numFmtId="0" fontId="1" fillId="4" borderId="5" xfId="0" applyFont="1" applyFill="1" applyBorder="1" applyAlignment="1">
      <alignment horizontal="left"/>
    </xf>
    <xf numFmtId="49" fontId="1" fillId="4" borderId="5" xfId="0" applyNumberFormat="1" applyFont="1" applyFill="1" applyBorder="1" applyAlignment="1">
      <alignment horizontal="left"/>
    </xf>
    <xf numFmtId="49" fontId="3" fillId="4" borderId="5" xfId="0" applyNumberFormat="1" applyFont="1" applyFill="1" applyBorder="1" applyAlignment="1">
      <alignment horizontal="left"/>
    </xf>
    <xf numFmtId="0" fontId="0" fillId="0" borderId="7" xfId="0" applyBorder="1"/>
    <xf numFmtId="0" fontId="1" fillId="4" borderId="8" xfId="0" applyFont="1" applyFill="1" applyBorder="1" applyAlignment="1">
      <alignment horizontal="left"/>
    </xf>
    <xf numFmtId="49" fontId="1" fillId="4" borderId="8" xfId="0" applyNumberFormat="1" applyFont="1" applyFill="1" applyBorder="1" applyAlignment="1">
      <alignment horizontal="left"/>
    </xf>
    <xf numFmtId="49" fontId="3" fillId="4" borderId="8" xfId="0" applyNumberFormat="1" applyFont="1" applyFill="1" applyBorder="1" applyAlignment="1">
      <alignment horizontal="left"/>
    </xf>
    <xf numFmtId="0" fontId="0" fillId="0" borderId="9" xfId="0" applyBorder="1"/>
    <xf numFmtId="49" fontId="4" fillId="2" borderId="10" xfId="0" applyNumberFormat="1" applyFont="1" applyFill="1" applyBorder="1" applyAlignment="1">
      <alignment horizontal="center" vertical="center" wrapText="1"/>
    </xf>
    <xf numFmtId="49" fontId="5" fillId="2" borderId="10" xfId="0" applyNumberFormat="1" applyFont="1" applyFill="1" applyBorder="1" applyAlignment="1">
      <alignment horizontal="center"/>
    </xf>
    <xf numFmtId="49" fontId="5" fillId="2" borderId="15" xfId="0" applyNumberFormat="1" applyFont="1" applyFill="1" applyBorder="1" applyAlignment="1">
      <alignment horizontal="center" vertical="center" wrapText="1"/>
    </xf>
    <xf numFmtId="49" fontId="5" fillId="2" borderId="16" xfId="0" applyNumberFormat="1" applyFont="1" applyFill="1" applyBorder="1" applyAlignment="1">
      <alignment horizontal="center" vertical="center" wrapText="1"/>
    </xf>
    <xf numFmtId="49" fontId="6" fillId="2" borderId="15" xfId="0" applyNumberFormat="1" applyFont="1" applyFill="1" applyBorder="1" applyAlignment="1">
      <alignment horizontal="center"/>
    </xf>
    <xf numFmtId="49" fontId="6" fillId="2" borderId="16" xfId="0" applyNumberFormat="1" applyFont="1" applyFill="1" applyBorder="1" applyAlignment="1">
      <alignment horizontal="center"/>
    </xf>
    <xf numFmtId="49" fontId="5" fillId="2" borderId="15" xfId="0" applyNumberFormat="1" applyFont="1" applyFill="1" applyBorder="1" applyAlignment="1">
      <alignment horizontal="center"/>
    </xf>
    <xf numFmtId="49" fontId="5" fillId="2" borderId="16" xfId="0" applyNumberFormat="1" applyFont="1" applyFill="1" applyBorder="1" applyAlignment="1">
      <alignment horizontal="center"/>
    </xf>
    <xf numFmtId="49" fontId="5" fillId="2" borderId="11" xfId="0" applyNumberFormat="1" applyFont="1" applyFill="1" applyBorder="1" applyAlignment="1">
      <alignment horizontal="center"/>
    </xf>
    <xf numFmtId="49" fontId="5" fillId="2" borderId="17" xfId="0" applyNumberFormat="1" applyFont="1" applyFill="1" applyBorder="1" applyAlignment="1">
      <alignment horizontal="center"/>
    </xf>
    <xf numFmtId="0" fontId="5" fillId="2" borderId="18" xfId="0" applyFont="1" applyFill="1" applyBorder="1" applyAlignment="1">
      <alignment horizontal="center"/>
    </xf>
    <xf numFmtId="49" fontId="5" fillId="2" borderId="19" xfId="0" applyNumberFormat="1" applyFont="1" applyFill="1" applyBorder="1" applyAlignment="1">
      <alignment horizontal="center"/>
    </xf>
    <xf numFmtId="0" fontId="5" fillId="2" borderId="20" xfId="0" applyFont="1" applyFill="1" applyBorder="1" applyAlignment="1">
      <alignment horizontal="center"/>
    </xf>
    <xf numFmtId="49" fontId="5" fillId="2" borderId="21" xfId="0" applyNumberFormat="1" applyFont="1" applyFill="1" applyBorder="1" applyAlignment="1">
      <alignment horizontal="center" vertical="center" wrapText="1"/>
    </xf>
    <xf numFmtId="49" fontId="5" fillId="2" borderId="22" xfId="0" applyNumberFormat="1" applyFont="1" applyFill="1" applyBorder="1" applyAlignment="1">
      <alignment horizontal="center" vertical="center" wrapText="1"/>
    </xf>
    <xf numFmtId="0" fontId="5" fillId="2" borderId="23" xfId="0" applyFont="1" applyFill="1" applyBorder="1" applyAlignment="1">
      <alignment horizontal="center"/>
    </xf>
    <xf numFmtId="0" fontId="5" fillId="2" borderId="24"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20" xfId="0" applyFont="1" applyFill="1" applyBorder="1" applyAlignment="1">
      <alignment horizontal="center" vertical="center" wrapText="1"/>
    </xf>
    <xf numFmtId="49" fontId="0" fillId="2" borderId="25" xfId="0" applyNumberFormat="1" applyFill="1" applyBorder="1" applyAlignment="1">
      <alignment horizontal="center"/>
    </xf>
    <xf numFmtId="0" fontId="0" fillId="2" borderId="26" xfId="0" applyFill="1" applyBorder="1"/>
    <xf numFmtId="0" fontId="0" fillId="2" borderId="27" xfId="0" applyFill="1" applyBorder="1"/>
    <xf numFmtId="0" fontId="5" fillId="2" borderId="21" xfId="0" applyFont="1" applyFill="1" applyBorder="1" applyAlignment="1">
      <alignment horizontal="center"/>
    </xf>
    <xf numFmtId="0" fontId="5" fillId="2" borderId="22" xfId="0" applyFont="1" applyFill="1" applyBorder="1" applyAlignment="1">
      <alignment horizontal="center"/>
    </xf>
    <xf numFmtId="0" fontId="0" fillId="2" borderId="23" xfId="0" applyFill="1" applyBorder="1"/>
    <xf numFmtId="0" fontId="5" fillId="2" borderId="15" xfId="0" applyFont="1" applyFill="1" applyBorder="1" applyAlignment="1">
      <alignment horizontal="center" vertical="center" wrapText="1"/>
    </xf>
    <xf numFmtId="0" fontId="5" fillId="2" borderId="16" xfId="0" applyFont="1" applyFill="1" applyBorder="1" applyAlignment="1">
      <alignment horizontal="center" vertical="center" wrapText="1"/>
    </xf>
    <xf numFmtId="49" fontId="5" fillId="2" borderId="28" xfId="0" applyNumberFormat="1" applyFont="1" applyFill="1" applyBorder="1" applyAlignment="1">
      <alignment horizontal="center"/>
    </xf>
    <xf numFmtId="49" fontId="5" fillId="2" borderId="29" xfId="0" applyNumberFormat="1" applyFont="1" applyFill="1" applyBorder="1" applyAlignment="1">
      <alignment horizontal="center"/>
    </xf>
    <xf numFmtId="49" fontId="5" fillId="2" borderId="30" xfId="0" applyNumberFormat="1" applyFont="1" applyFill="1" applyBorder="1" applyAlignment="1">
      <alignment horizontal="center"/>
    </xf>
    <xf numFmtId="49" fontId="5" fillId="2" borderId="31" xfId="0" applyNumberFormat="1" applyFont="1" applyFill="1" applyBorder="1" applyAlignment="1">
      <alignment horizontal="center"/>
    </xf>
    <xf numFmtId="49" fontId="5" fillId="2" borderId="32" xfId="0" applyNumberFormat="1" applyFont="1" applyFill="1" applyBorder="1" applyAlignment="1">
      <alignment horizontal="center"/>
    </xf>
    <xf numFmtId="49" fontId="5" fillId="2" borderId="33" xfId="0" applyNumberFormat="1" applyFont="1" applyFill="1" applyBorder="1" applyAlignment="1">
      <alignment horizontal="center"/>
    </xf>
    <xf numFmtId="49" fontId="6" fillId="2" borderId="21" xfId="0" applyNumberFormat="1" applyFont="1" applyFill="1" applyBorder="1" applyAlignment="1">
      <alignment horizontal="center"/>
    </xf>
    <xf numFmtId="49" fontId="6" fillId="2" borderId="22" xfId="0" applyNumberFormat="1" applyFont="1" applyFill="1" applyBorder="1" applyAlignment="1">
      <alignment horizontal="center"/>
    </xf>
    <xf numFmtId="0" fontId="0" fillId="2" borderId="34" xfId="0" applyFill="1" applyBorder="1"/>
    <xf numFmtId="0" fontId="0" fillId="2" borderId="24" xfId="0" applyFill="1" applyBorder="1"/>
    <xf numFmtId="0" fontId="6" fillId="2" borderId="23" xfId="0" applyFont="1" applyFill="1" applyBorder="1" applyAlignment="1">
      <alignment horizontal="center"/>
    </xf>
    <xf numFmtId="0" fontId="6" fillId="2" borderId="24" xfId="0" applyFont="1" applyFill="1" applyBorder="1" applyAlignment="1">
      <alignment horizontal="center"/>
    </xf>
    <xf numFmtId="0" fontId="7" fillId="2" borderId="23" xfId="0" applyFont="1" applyFill="1" applyBorder="1" applyAlignment="1">
      <alignment horizontal="center"/>
    </xf>
    <xf numFmtId="0" fontId="7" fillId="2" borderId="23" xfId="0" applyFont="1" applyFill="1" applyBorder="1"/>
    <xf numFmtId="0" fontId="7" fillId="2" borderId="23" xfId="0" applyFont="1" applyFill="1" applyBorder="1" applyAlignment="1">
      <alignment horizontal="center" vertical="center"/>
    </xf>
    <xf numFmtId="0" fontId="5" fillId="2" borderId="23" xfId="0" applyFont="1" applyFill="1" applyBorder="1" applyAlignment="1">
      <alignment horizontal="center" vertical="center"/>
    </xf>
    <xf numFmtId="0" fontId="8" fillId="2" borderId="23" xfId="0" applyFont="1" applyFill="1" applyBorder="1" applyAlignment="1">
      <alignment vertical="center"/>
    </xf>
    <xf numFmtId="0" fontId="9" fillId="2" borderId="23" xfId="0" applyFont="1" applyFill="1" applyBorder="1" applyAlignment="1">
      <alignment horizontal="center" vertical="center"/>
    </xf>
    <xf numFmtId="0" fontId="8" fillId="2" borderId="23" xfId="0" applyFont="1" applyFill="1" applyBorder="1" applyAlignment="1">
      <alignment horizontal="center" vertical="center"/>
    </xf>
    <xf numFmtId="0" fontId="8" fillId="2" borderId="23" xfId="0" applyFont="1" applyFill="1" applyBorder="1" applyAlignment="1">
      <alignment horizontal="center"/>
    </xf>
    <xf numFmtId="49" fontId="10" fillId="5" borderId="38" xfId="0" applyNumberFormat="1" applyFont="1" applyFill="1" applyBorder="1" applyAlignment="1">
      <alignment horizontal="left" vertical="center" wrapText="1"/>
    </xf>
    <xf numFmtId="49" fontId="12" fillId="2" borderId="45" xfId="0" applyNumberFormat="1" applyFont="1" applyFill="1" applyBorder="1" applyAlignment="1">
      <alignment horizontal="center" vertical="center"/>
    </xf>
    <xf numFmtId="49" fontId="11" fillId="7" borderId="49" xfId="0" applyNumberFormat="1" applyFont="1" applyFill="1" applyBorder="1" applyAlignment="1">
      <alignment horizontal="center" vertical="center" wrapText="1"/>
    </xf>
    <xf numFmtId="49" fontId="11" fillId="5" borderId="50" xfId="0" applyNumberFormat="1" applyFont="1" applyFill="1" applyBorder="1" applyAlignment="1">
      <alignment horizontal="center" vertical="center" wrapText="1"/>
    </xf>
    <xf numFmtId="49" fontId="13" fillId="5" borderId="50" xfId="0" applyNumberFormat="1" applyFont="1" applyFill="1" applyBorder="1" applyAlignment="1">
      <alignment horizontal="center" vertical="center" wrapText="1"/>
    </xf>
    <xf numFmtId="49" fontId="11" fillId="2" borderId="50" xfId="0" applyNumberFormat="1" applyFont="1" applyFill="1" applyBorder="1" applyAlignment="1">
      <alignment horizontal="left" vertical="center" wrapText="1"/>
    </xf>
    <xf numFmtId="49" fontId="11" fillId="5" borderId="51" xfId="0" applyNumberFormat="1" applyFont="1" applyFill="1" applyBorder="1" applyAlignment="1">
      <alignment horizontal="center" vertical="center" wrapText="1"/>
    </xf>
    <xf numFmtId="49" fontId="11" fillId="5" borderId="45" xfId="0" applyNumberFormat="1" applyFont="1" applyFill="1" applyBorder="1" applyAlignment="1">
      <alignment horizontal="center" vertical="center" wrapText="1"/>
    </xf>
    <xf numFmtId="0" fontId="14" fillId="7" borderId="55" xfId="0" applyFont="1" applyFill="1" applyBorder="1" applyAlignment="1">
      <alignment horizontal="center" vertical="center"/>
    </xf>
    <xf numFmtId="49" fontId="15" fillId="2" borderId="56" xfId="0" applyNumberFormat="1" applyFont="1" applyFill="1" applyBorder="1" applyAlignment="1">
      <alignment horizontal="center" vertical="center" wrapText="1"/>
    </xf>
    <xf numFmtId="49" fontId="5" fillId="2" borderId="56" xfId="0" applyNumberFormat="1" applyFont="1" applyFill="1" applyBorder="1" applyAlignment="1">
      <alignment horizontal="center" vertical="center"/>
    </xf>
    <xf numFmtId="49" fontId="11" fillId="2" borderId="56" xfId="0" applyNumberFormat="1" applyFont="1" applyFill="1" applyBorder="1" applyAlignment="1">
      <alignment horizontal="center" vertical="center"/>
    </xf>
    <xf numFmtId="49" fontId="6" fillId="2" borderId="56" xfId="0" applyNumberFormat="1" applyFont="1" applyFill="1" applyBorder="1" applyAlignment="1">
      <alignment horizontal="left" vertical="center" wrapText="1"/>
    </xf>
    <xf numFmtId="49" fontId="16" fillId="2" borderId="57" xfId="0" applyNumberFormat="1" applyFont="1" applyFill="1" applyBorder="1" applyAlignment="1">
      <alignment horizontal="center" vertical="center"/>
    </xf>
    <xf numFmtId="0" fontId="17" fillId="2" borderId="49" xfId="0" applyFont="1" applyFill="1" applyBorder="1" applyAlignment="1">
      <alignment vertical="center" wrapText="1"/>
    </xf>
    <xf numFmtId="0" fontId="17" fillId="2" borderId="58" xfId="0" applyFont="1" applyFill="1" applyBorder="1" applyAlignment="1">
      <alignment vertical="center" wrapText="1"/>
    </xf>
    <xf numFmtId="0" fontId="16" fillId="2" borderId="58" xfId="0" applyFont="1" applyFill="1" applyBorder="1" applyAlignment="1">
      <alignment vertical="center" wrapText="1"/>
    </xf>
    <xf numFmtId="0" fontId="16" fillId="2" borderId="59" xfId="0" applyFont="1" applyFill="1" applyBorder="1" applyAlignment="1">
      <alignment vertical="center" wrapText="1"/>
    </xf>
    <xf numFmtId="0" fontId="18" fillId="7" borderId="55" xfId="0" applyFont="1" applyFill="1" applyBorder="1" applyAlignment="1">
      <alignment horizontal="center" vertical="center"/>
    </xf>
    <xf numFmtId="49" fontId="19" fillId="2" borderId="57" xfId="0" applyNumberFormat="1" applyFont="1" applyFill="1" applyBorder="1" applyAlignment="1">
      <alignment horizontal="center" vertical="center"/>
    </xf>
    <xf numFmtId="0" fontId="20" fillId="2" borderId="49" xfId="0" applyFont="1" applyFill="1" applyBorder="1" applyAlignment="1">
      <alignment vertical="center" wrapText="1"/>
    </xf>
    <xf numFmtId="0" fontId="20" fillId="2" borderId="58" xfId="0" applyFont="1" applyFill="1" applyBorder="1" applyAlignment="1">
      <alignment vertical="center" wrapText="1"/>
    </xf>
    <xf numFmtId="0" fontId="19" fillId="2" borderId="59" xfId="0" applyFont="1" applyFill="1" applyBorder="1" applyAlignment="1">
      <alignment vertical="center" wrapText="1"/>
    </xf>
    <xf numFmtId="0" fontId="18" fillId="7" borderId="60" xfId="0" applyFont="1" applyFill="1" applyBorder="1" applyAlignment="1">
      <alignment horizontal="center" vertical="center"/>
    </xf>
    <xf numFmtId="0" fontId="20" fillId="2" borderId="61" xfId="0" applyFont="1" applyFill="1" applyBorder="1" applyAlignment="1">
      <alignment vertical="center" wrapText="1"/>
    </xf>
    <xf numFmtId="0" fontId="20" fillId="2" borderId="62" xfId="0" applyFont="1" applyFill="1" applyBorder="1" applyAlignment="1">
      <alignment vertical="center" wrapText="1"/>
    </xf>
    <xf numFmtId="0" fontId="19" fillId="2" borderId="63" xfId="0" applyFont="1" applyFill="1" applyBorder="1" applyAlignment="1">
      <alignment vertical="center" wrapText="1"/>
    </xf>
    <xf numFmtId="0" fontId="14" fillId="7" borderId="68" xfId="0" applyFont="1" applyFill="1" applyBorder="1" applyAlignment="1">
      <alignment horizontal="center" vertical="center"/>
    </xf>
    <xf numFmtId="0" fontId="17" fillId="2" borderId="69" xfId="0" applyFont="1" applyFill="1" applyBorder="1" applyAlignment="1">
      <alignment vertical="center" wrapText="1"/>
    </xf>
    <xf numFmtId="0" fontId="17" fillId="2" borderId="70" xfId="0" applyFont="1" applyFill="1" applyBorder="1" applyAlignment="1">
      <alignment vertical="center" wrapText="1"/>
    </xf>
    <xf numFmtId="0" fontId="21" fillId="2" borderId="71" xfId="0" applyFont="1" applyFill="1" applyBorder="1" applyAlignment="1">
      <alignment horizontal="left" vertical="center" wrapText="1"/>
    </xf>
    <xf numFmtId="0" fontId="14" fillId="7" borderId="60" xfId="0" applyFont="1" applyFill="1" applyBorder="1" applyAlignment="1">
      <alignment horizontal="center" vertical="center"/>
    </xf>
    <xf numFmtId="0" fontId="17" fillId="2" borderId="61" xfId="0" applyFont="1" applyFill="1" applyBorder="1" applyAlignment="1">
      <alignment vertical="center" wrapText="1"/>
    </xf>
    <xf numFmtId="0" fontId="17" fillId="2" borderId="62" xfId="0" applyFont="1" applyFill="1" applyBorder="1" applyAlignment="1">
      <alignment vertical="center" wrapText="1"/>
    </xf>
    <xf numFmtId="0" fontId="16" fillId="2" borderId="63" xfId="0" applyFont="1" applyFill="1" applyBorder="1" applyAlignment="1">
      <alignment vertical="center" wrapText="1"/>
    </xf>
    <xf numFmtId="0" fontId="16" fillId="2" borderId="71" xfId="0" applyFont="1" applyFill="1" applyBorder="1" applyAlignment="1">
      <alignment vertical="center" wrapText="1"/>
    </xf>
    <xf numFmtId="14" fontId="17" fillId="2" borderId="69" xfId="0" applyNumberFormat="1" applyFont="1" applyFill="1" applyBorder="1" applyAlignment="1">
      <alignment vertical="center" wrapText="1"/>
    </xf>
    <xf numFmtId="14" fontId="17" fillId="2" borderId="70" xfId="0" applyNumberFormat="1" applyFont="1" applyFill="1" applyBorder="1" applyAlignment="1">
      <alignment vertical="center" wrapText="1"/>
    </xf>
    <xf numFmtId="0" fontId="11" fillId="8" borderId="72" xfId="0" applyFont="1" applyFill="1" applyBorder="1" applyAlignment="1">
      <alignment horizontal="center" vertical="center"/>
    </xf>
    <xf numFmtId="0" fontId="11" fillId="8" borderId="73" xfId="0" applyFont="1" applyFill="1" applyBorder="1" applyAlignment="1">
      <alignment horizontal="center" vertical="center"/>
    </xf>
    <xf numFmtId="0" fontId="11" fillId="8" borderId="74" xfId="0" applyFont="1" applyFill="1" applyBorder="1" applyAlignment="1">
      <alignment horizontal="center" vertical="center"/>
    </xf>
    <xf numFmtId="0" fontId="0" fillId="2" borderId="74" xfId="0" applyFill="1" applyBorder="1"/>
    <xf numFmtId="0" fontId="23" fillId="2" borderId="15" xfId="0" applyNumberFormat="1" applyFont="1" applyFill="1" applyBorder="1" applyAlignment="1">
      <alignment horizontal="center" vertical="center"/>
    </xf>
    <xf numFmtId="49" fontId="16" fillId="2" borderId="72" xfId="0" applyNumberFormat="1" applyFont="1" applyFill="1" applyBorder="1" applyAlignment="1">
      <alignment horizontal="center" vertical="center" wrapText="1"/>
    </xf>
    <xf numFmtId="49" fontId="5" fillId="2" borderId="72" xfId="0" applyNumberFormat="1" applyFont="1" applyFill="1" applyBorder="1" applyAlignment="1">
      <alignment horizontal="center" vertical="center"/>
    </xf>
    <xf numFmtId="49" fontId="16" fillId="2" borderId="72" xfId="0" applyNumberFormat="1" applyFont="1" applyFill="1" applyBorder="1" applyAlignment="1">
      <alignment horizontal="center" vertical="center"/>
    </xf>
    <xf numFmtId="49" fontId="16" fillId="2" borderId="72" xfId="0" applyNumberFormat="1" applyFont="1" applyFill="1" applyBorder="1" applyAlignment="1">
      <alignment horizontal="left" vertical="center"/>
    </xf>
    <xf numFmtId="49" fontId="11" fillId="2" borderId="72" xfId="0" applyNumberFormat="1" applyFont="1" applyFill="1" applyBorder="1" applyAlignment="1">
      <alignment horizontal="center" vertical="center"/>
    </xf>
    <xf numFmtId="49" fontId="5" fillId="2" borderId="72" xfId="0" applyNumberFormat="1" applyFont="1" applyFill="1" applyBorder="1" applyAlignment="1">
      <alignment horizontal="left" vertical="center" wrapText="1"/>
    </xf>
    <xf numFmtId="49" fontId="5" fillId="2" borderId="73" xfId="0" applyNumberFormat="1" applyFont="1" applyFill="1" applyBorder="1" applyAlignment="1">
      <alignment horizontal="center" vertical="center"/>
    </xf>
    <xf numFmtId="14" fontId="5" fillId="2" borderId="74" xfId="0" applyNumberFormat="1" applyFont="1" applyFill="1" applyBorder="1" applyAlignment="1">
      <alignment horizontal="center" vertical="center"/>
    </xf>
    <xf numFmtId="0" fontId="16" fillId="2" borderId="74" xfId="0" applyFont="1" applyFill="1" applyBorder="1" applyAlignment="1">
      <alignment vertical="center"/>
    </xf>
    <xf numFmtId="0" fontId="16" fillId="2" borderId="74" xfId="0" applyNumberFormat="1" applyFont="1" applyFill="1" applyBorder="1" applyAlignment="1">
      <alignment horizontal="center" vertical="center" wrapText="1"/>
    </xf>
    <xf numFmtId="49" fontId="5" fillId="2" borderId="77" xfId="0" applyNumberFormat="1" applyFont="1" applyFill="1" applyBorder="1" applyAlignment="1">
      <alignment horizontal="center" vertical="center"/>
    </xf>
    <xf numFmtId="14" fontId="5" fillId="2" borderId="78" xfId="0" applyNumberFormat="1" applyFont="1" applyFill="1" applyBorder="1" applyAlignment="1">
      <alignment horizontal="center" vertical="center"/>
    </xf>
    <xf numFmtId="0" fontId="16" fillId="2" borderId="78" xfId="0" applyFont="1" applyFill="1" applyBorder="1" applyAlignment="1">
      <alignment vertical="center"/>
    </xf>
    <xf numFmtId="49" fontId="6" fillId="9" borderId="56" xfId="0" applyNumberFormat="1" applyFont="1" applyFill="1" applyBorder="1" applyAlignment="1">
      <alignment horizontal="left" vertical="center" wrapText="1"/>
    </xf>
    <xf numFmtId="49" fontId="24" fillId="2" borderId="79" xfId="0" applyNumberFormat="1" applyFont="1" applyFill="1" applyBorder="1" applyAlignment="1">
      <alignment horizontal="center" vertical="center"/>
    </xf>
    <xf numFmtId="49" fontId="16" fillId="2" borderId="45" xfId="0" applyNumberFormat="1" applyFont="1" applyFill="1" applyBorder="1" applyAlignment="1">
      <alignment horizontal="center" vertical="center"/>
    </xf>
    <xf numFmtId="0" fontId="17" fillId="2" borderId="81" xfId="0" applyFont="1" applyFill="1" applyBorder="1" applyAlignment="1">
      <alignment vertical="center" wrapText="1"/>
    </xf>
    <xf numFmtId="0" fontId="17" fillId="2" borderId="82" xfId="0" applyFont="1" applyFill="1" applyBorder="1" applyAlignment="1">
      <alignment vertical="center" wrapText="1"/>
    </xf>
    <xf numFmtId="0" fontId="17" fillId="2" borderId="83" xfId="0" applyFont="1" applyFill="1" applyBorder="1" applyAlignment="1">
      <alignment vertical="center" wrapText="1"/>
    </xf>
    <xf numFmtId="49" fontId="16" fillId="2" borderId="85" xfId="0" applyNumberFormat="1" applyFont="1" applyFill="1" applyBorder="1" applyAlignment="1">
      <alignment horizontal="center" vertical="center"/>
    </xf>
    <xf numFmtId="0" fontId="26" fillId="0" borderId="0" xfId="0" applyFont="1"/>
    <xf numFmtId="0" fontId="25" fillId="0" borderId="0" xfId="0" applyFont="1" applyAlignment="1">
      <alignment horizontal="center" vertical="center"/>
    </xf>
    <xf numFmtId="49" fontId="1" fillId="2" borderId="5" xfId="0" applyNumberFormat="1" applyFont="1" applyFill="1" applyBorder="1" applyAlignment="1">
      <alignment horizontal="left" wrapText="1"/>
    </xf>
    <xf numFmtId="0" fontId="0" fillId="0" borderId="5" xfId="0" applyBorder="1"/>
    <xf numFmtId="49" fontId="4" fillId="2" borderId="11" xfId="0" applyNumberFormat="1" applyFont="1" applyFill="1" applyBorder="1" applyAlignment="1">
      <alignment horizontal="center" vertical="center" wrapText="1"/>
    </xf>
    <xf numFmtId="0" fontId="4" fillId="2" borderId="12" xfId="0" applyFont="1" applyFill="1" applyBorder="1" applyAlignment="1">
      <alignment horizontal="center" vertical="center" wrapText="1"/>
    </xf>
    <xf numFmtId="49" fontId="4" fillId="2" borderId="13" xfId="0" applyNumberFormat="1" applyFont="1" applyFill="1" applyBorder="1" applyAlignment="1">
      <alignment horizontal="center" vertical="center" wrapText="1"/>
    </xf>
    <xf numFmtId="0" fontId="4" fillId="2" borderId="14" xfId="0" applyFont="1" applyFill="1" applyBorder="1" applyAlignment="1">
      <alignment horizontal="center" vertical="center" wrapText="1"/>
    </xf>
    <xf numFmtId="49" fontId="10" fillId="5" borderId="35" xfId="0" applyNumberFormat="1" applyFont="1" applyFill="1" applyBorder="1" applyAlignment="1">
      <alignment horizontal="left" vertical="center" wrapText="1"/>
    </xf>
    <xf numFmtId="0" fontId="0" fillId="2" borderId="36" xfId="0" applyFill="1" applyBorder="1"/>
    <xf numFmtId="0" fontId="0" fillId="2" borderId="37" xfId="0" applyFill="1" applyBorder="1"/>
    <xf numFmtId="49" fontId="11" fillId="6" borderId="39" xfId="0" applyNumberFormat="1" applyFont="1" applyFill="1" applyBorder="1" applyAlignment="1">
      <alignment horizontal="center" vertical="center" wrapText="1"/>
    </xf>
    <xf numFmtId="0" fontId="0" fillId="2" borderId="46" xfId="0" applyFill="1" applyBorder="1"/>
    <xf numFmtId="0" fontId="0" fillId="2" borderId="52" xfId="0" applyFill="1" applyBorder="1"/>
    <xf numFmtId="49" fontId="11" fillId="6" borderId="40" xfId="0" applyNumberFormat="1" applyFont="1" applyFill="1" applyBorder="1" applyAlignment="1">
      <alignment horizontal="center" vertical="center" wrapText="1"/>
    </xf>
    <xf numFmtId="0" fontId="0" fillId="2" borderId="47" xfId="0" applyFill="1" applyBorder="1"/>
    <xf numFmtId="0" fontId="0" fillId="2" borderId="53" xfId="0" applyFill="1" applyBorder="1"/>
    <xf numFmtId="49" fontId="11" fillId="6" borderId="41" xfId="0" applyNumberFormat="1" applyFont="1" applyFill="1" applyBorder="1" applyAlignment="1">
      <alignment horizontal="center" vertical="center" wrapText="1"/>
    </xf>
    <xf numFmtId="0" fontId="0" fillId="2" borderId="48" xfId="0" applyFill="1" applyBorder="1"/>
    <xf numFmtId="0" fontId="0" fillId="2" borderId="54" xfId="0" applyFill="1" applyBorder="1"/>
    <xf numFmtId="49" fontId="12" fillId="2" borderId="42" xfId="0" applyNumberFormat="1" applyFont="1" applyFill="1" applyBorder="1" applyAlignment="1">
      <alignment horizontal="center" vertical="center"/>
    </xf>
    <xf numFmtId="0" fontId="0" fillId="2" borderId="43" xfId="0" applyFill="1" applyBorder="1"/>
    <xf numFmtId="0" fontId="0" fillId="2" borderId="44" xfId="0" applyFill="1" applyBorder="1"/>
    <xf numFmtId="49" fontId="11" fillId="8" borderId="64" xfId="0" applyNumberFormat="1" applyFont="1" applyFill="1" applyBorder="1" applyAlignment="1">
      <alignment horizontal="center" vertical="center" wrapText="1"/>
    </xf>
    <xf numFmtId="0" fontId="0" fillId="2" borderId="65" xfId="0" applyFill="1" applyBorder="1"/>
    <xf numFmtId="0" fontId="0" fillId="2" borderId="65" xfId="0" applyFill="1" applyBorder="1" applyAlignment="1">
      <alignment vertical="center"/>
    </xf>
    <xf numFmtId="0" fontId="0" fillId="2" borderId="66" xfId="0" applyFill="1" applyBorder="1" applyAlignment="1">
      <alignment vertical="center"/>
    </xf>
    <xf numFmtId="0" fontId="0" fillId="2" borderId="66" xfId="0" applyFill="1" applyBorder="1"/>
    <xf numFmtId="0" fontId="0" fillId="2" borderId="67" xfId="0" applyFill="1" applyBorder="1" applyAlignment="1">
      <alignment vertical="center"/>
    </xf>
    <xf numFmtId="0" fontId="0" fillId="2" borderId="80" xfId="0" applyFill="1" applyBorder="1"/>
    <xf numFmtId="0" fontId="0" fillId="2" borderId="67" xfId="0" applyFill="1" applyBorder="1"/>
    <xf numFmtId="49" fontId="11" fillId="8" borderId="64" xfId="0" applyNumberFormat="1" applyFont="1" applyFill="1" applyBorder="1" applyAlignment="1">
      <alignment horizontal="center" vertical="center"/>
    </xf>
    <xf numFmtId="49" fontId="11" fillId="8" borderId="15" xfId="0" applyNumberFormat="1" applyFont="1" applyFill="1" applyBorder="1" applyAlignment="1">
      <alignment horizontal="center" vertical="center"/>
    </xf>
    <xf numFmtId="0" fontId="11" fillId="8" borderId="72" xfId="0" applyFont="1" applyFill="1" applyBorder="1" applyAlignment="1">
      <alignment horizontal="center" vertical="center"/>
    </xf>
    <xf numFmtId="0" fontId="0" fillId="2" borderId="72" xfId="0" applyFill="1" applyBorder="1"/>
    <xf numFmtId="49" fontId="22" fillId="8" borderId="75" xfId="0" applyNumberFormat="1" applyFont="1" applyFill="1" applyBorder="1" applyAlignment="1">
      <alignment horizontal="center" vertical="center"/>
    </xf>
    <xf numFmtId="0" fontId="22" fillId="8" borderId="65" xfId="0" applyFont="1" applyFill="1" applyBorder="1" applyAlignment="1">
      <alignment horizontal="center" vertical="center"/>
    </xf>
    <xf numFmtId="0" fontId="22" fillId="8" borderId="66" xfId="0" applyFont="1" applyFill="1" applyBorder="1" applyAlignment="1">
      <alignment horizontal="center" vertical="center"/>
    </xf>
    <xf numFmtId="0" fontId="22" fillId="8" borderId="76" xfId="0" applyFont="1" applyFill="1" applyBorder="1" applyAlignment="1">
      <alignment horizontal="center" vertical="center"/>
    </xf>
    <xf numFmtId="0" fontId="0" fillId="2" borderId="84" xfId="0" applyFill="1" applyBorder="1"/>
    <xf numFmtId="0" fontId="25" fillId="0" borderId="0" xfId="0" applyFont="1" applyAlignment="1">
      <alignment horizontal="center"/>
    </xf>
  </cellXfs>
  <cellStyles count="1">
    <cellStyle name="Normale"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5E88B1"/>
      <rgbColor rgb="FFEEF3F4"/>
      <rgbColor rgb="FF0000FF"/>
      <rgbColor rgb="FFDADBE1"/>
      <rgbColor rgb="FF3F3F3F"/>
      <rgbColor rgb="FFEBECEF"/>
      <rgbColor rgb="FFF0F2F2"/>
      <rgbColor rgb="FF7F7F7F"/>
      <rgbColor rgb="FF525252"/>
      <rgbColor rgb="FF525252"/>
      <rgbColor rgb="FFD9DCE1"/>
      <rgbColor rgb="FF44749F"/>
      <rgbColor rgb="FFFEFB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Tema di Offic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Tema di Office">
      <a:majorFont>
        <a:latin typeface="Helvetica Neue"/>
        <a:ea typeface="Helvetica Neue"/>
        <a:cs typeface="Helvetica Neue"/>
      </a:majorFont>
      <a:minorFont>
        <a:latin typeface="Helvetica Neue"/>
        <a:ea typeface="Helvetica Neue"/>
        <a:cs typeface="Helvetica Neue"/>
      </a:minorFont>
    </a:fontScheme>
    <a:fmtScheme name="Tema di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2"/>
  <sheetViews>
    <sheetView showGridLines="0" workbookViewId="0"/>
  </sheetViews>
  <sheetFormatPr defaultColWidth="10" defaultRowHeight="12.95" customHeight="1"/>
  <cols>
    <col min="1" max="1" width="2" style="1" customWidth="1"/>
    <col min="2" max="4" width="30.42578125" style="1" customWidth="1"/>
    <col min="5" max="6" width="10" style="1" customWidth="1"/>
    <col min="7" max="16384" width="10" style="1"/>
  </cols>
  <sheetData>
    <row r="1" spans="1:5" ht="13.5" customHeight="1">
      <c r="A1" s="2"/>
      <c r="B1" s="3"/>
      <c r="C1" s="3"/>
      <c r="D1" s="3"/>
      <c r="E1" s="4"/>
    </row>
    <row r="2" spans="1:5" ht="13.5" customHeight="1">
      <c r="A2" s="5"/>
      <c r="B2" s="6"/>
      <c r="C2" s="6"/>
      <c r="D2" s="6"/>
      <c r="E2" s="7"/>
    </row>
    <row r="3" spans="1:5" ht="50.1" customHeight="1">
      <c r="A3" s="5"/>
      <c r="B3" s="132" t="s">
        <v>0</v>
      </c>
      <c r="C3" s="133"/>
      <c r="D3" s="133"/>
      <c r="E3" s="7"/>
    </row>
    <row r="4" spans="1:5" ht="13.5" customHeight="1">
      <c r="A4" s="5"/>
      <c r="B4" s="6"/>
      <c r="C4" s="6"/>
      <c r="D4" s="6"/>
      <c r="E4" s="7"/>
    </row>
    <row r="5" spans="1:5" ht="13.5" customHeight="1">
      <c r="A5" s="5"/>
      <c r="B5" s="6"/>
      <c r="C5" s="6"/>
      <c r="D5" s="6"/>
      <c r="E5" s="7"/>
    </row>
    <row r="6" spans="1:5" ht="13.5" customHeight="1">
      <c r="A6" s="5"/>
      <c r="B6" s="6"/>
      <c r="C6" s="6"/>
      <c r="D6" s="6"/>
      <c r="E6" s="7"/>
    </row>
    <row r="7" spans="1:5" ht="17.850000000000001" customHeight="1">
      <c r="A7" s="5"/>
      <c r="B7" s="8" t="s">
        <v>1</v>
      </c>
      <c r="C7" s="8" t="s">
        <v>2</v>
      </c>
      <c r="D7" s="8" t="s">
        <v>3</v>
      </c>
      <c r="E7" s="7"/>
    </row>
    <row r="8" spans="1:5" ht="13.5" customHeight="1">
      <c r="A8" s="5"/>
      <c r="B8" s="6"/>
      <c r="C8" s="6"/>
      <c r="D8" s="6"/>
      <c r="E8" s="7"/>
    </row>
    <row r="9" spans="1:5" ht="15.4" customHeight="1">
      <c r="A9" s="5"/>
      <c r="B9" s="9" t="s">
        <v>4</v>
      </c>
      <c r="C9" s="10"/>
      <c r="D9" s="10"/>
      <c r="E9" s="7"/>
    </row>
    <row r="10" spans="1:5" ht="15.4" customHeight="1">
      <c r="A10" s="5"/>
      <c r="B10" s="11"/>
      <c r="C10" s="12" t="s">
        <v>5</v>
      </c>
      <c r="D10" s="13" t="s">
        <v>6</v>
      </c>
      <c r="E10" s="7"/>
    </row>
    <row r="11" spans="1:5" ht="15.4" customHeight="1">
      <c r="A11" s="5"/>
      <c r="B11" s="9" t="s">
        <v>7</v>
      </c>
      <c r="C11" s="10"/>
      <c r="D11" s="10"/>
      <c r="E11" s="7"/>
    </row>
    <row r="12" spans="1:5" ht="15.4" customHeight="1">
      <c r="A12" s="14"/>
      <c r="B12" s="15"/>
      <c r="C12" s="16" t="s">
        <v>5</v>
      </c>
      <c r="D12" s="17" t="s">
        <v>8</v>
      </c>
      <c r="E12" s="18"/>
    </row>
  </sheetData>
  <mergeCells count="1">
    <mergeCell ref="B3:D3"/>
  </mergeCells>
  <hyperlinks>
    <hyperlink ref="D10" location="'WBS'!R1C1" display="WBS" xr:uid="{00000000-0004-0000-0000-000000000000}"/>
    <hyperlink ref="D12" location="'ELB_Esecutivo'!R1C1" display="ELB_Esecutivo" xr:uid="{00000000-0004-0000-0000-000001000000}"/>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6"/>
  <sheetViews>
    <sheetView showGridLines="0" workbookViewId="0"/>
  </sheetViews>
  <sheetFormatPr defaultColWidth="12.42578125" defaultRowHeight="15" customHeight="1"/>
  <cols>
    <col min="1" max="1" width="16.7109375" style="1" customWidth="1"/>
    <col min="2" max="2" width="11.85546875" style="1" customWidth="1"/>
    <col min="3" max="3" width="18.140625" style="1" customWidth="1"/>
    <col min="4" max="4" width="26.42578125" style="1" customWidth="1"/>
    <col min="5" max="5" width="23.42578125" style="1" customWidth="1"/>
    <col min="6" max="6" width="9.42578125" style="1" customWidth="1"/>
    <col min="7" max="7" width="18.7109375" style="1" customWidth="1"/>
    <col min="8" max="8" width="5.140625" style="1" customWidth="1"/>
    <col min="9" max="9" width="25" style="1" customWidth="1"/>
    <col min="10" max="10" width="19.140625" style="1" customWidth="1"/>
    <col min="11" max="11" width="23.28515625" style="1" customWidth="1"/>
    <col min="12" max="12" width="12.42578125" style="1" customWidth="1"/>
    <col min="13" max="16384" width="12.42578125" style="1"/>
  </cols>
  <sheetData>
    <row r="1" spans="1:11" ht="15.75" customHeight="1">
      <c r="A1" s="19" t="s">
        <v>9</v>
      </c>
      <c r="B1" s="134" t="s">
        <v>10</v>
      </c>
      <c r="C1" s="135"/>
      <c r="D1" s="134" t="s">
        <v>11</v>
      </c>
      <c r="E1" s="135"/>
      <c r="F1" s="134" t="s">
        <v>12</v>
      </c>
      <c r="G1" s="135"/>
      <c r="H1" s="134" t="s">
        <v>13</v>
      </c>
      <c r="I1" s="135"/>
      <c r="J1" s="136" t="s">
        <v>14</v>
      </c>
      <c r="K1" s="137"/>
    </row>
    <row r="2" spans="1:11" ht="29.25" customHeight="1">
      <c r="A2" s="20" t="s">
        <v>15</v>
      </c>
      <c r="B2" s="21" t="s">
        <v>16</v>
      </c>
      <c r="C2" s="22" t="s">
        <v>17</v>
      </c>
      <c r="D2" s="21" t="s">
        <v>18</v>
      </c>
      <c r="E2" s="22" t="s">
        <v>19</v>
      </c>
      <c r="F2" s="23" t="s">
        <v>20</v>
      </c>
      <c r="G2" s="24" t="s">
        <v>21</v>
      </c>
      <c r="H2" s="25" t="s">
        <v>22</v>
      </c>
      <c r="I2" s="26" t="s">
        <v>21</v>
      </c>
      <c r="J2" s="27" t="s">
        <v>23</v>
      </c>
      <c r="K2" s="28" t="s">
        <v>24</v>
      </c>
    </row>
    <row r="3" spans="1:11" ht="15.6" customHeight="1">
      <c r="A3" s="29"/>
      <c r="B3" s="21" t="s">
        <v>25</v>
      </c>
      <c r="C3" s="22" t="s">
        <v>26</v>
      </c>
      <c r="D3" s="21" t="s">
        <v>27</v>
      </c>
      <c r="E3" s="22" t="s">
        <v>28</v>
      </c>
      <c r="F3" s="21" t="s">
        <v>29</v>
      </c>
      <c r="G3" s="22" t="s">
        <v>30</v>
      </c>
      <c r="H3" s="21" t="s">
        <v>31</v>
      </c>
      <c r="I3" s="22" t="s">
        <v>32</v>
      </c>
      <c r="J3" s="25" t="s">
        <v>33</v>
      </c>
      <c r="K3" s="30" t="s">
        <v>34</v>
      </c>
    </row>
    <row r="4" spans="1:11" ht="16.5" customHeight="1">
      <c r="A4" s="31"/>
      <c r="B4" s="21" t="s">
        <v>35</v>
      </c>
      <c r="C4" s="22" t="s">
        <v>36</v>
      </c>
      <c r="D4" s="21" t="s">
        <v>37</v>
      </c>
      <c r="E4" s="22" t="s">
        <v>38</v>
      </c>
      <c r="F4" s="21" t="s">
        <v>39</v>
      </c>
      <c r="G4" s="22" t="s">
        <v>40</v>
      </c>
      <c r="H4" s="21" t="s">
        <v>41</v>
      </c>
      <c r="I4" s="22" t="s">
        <v>42</v>
      </c>
      <c r="J4" s="25" t="s">
        <v>43</v>
      </c>
      <c r="K4" s="30" t="s">
        <v>44</v>
      </c>
    </row>
    <row r="5" spans="1:11" ht="16.5" customHeight="1">
      <c r="A5" s="31"/>
      <c r="B5" s="32" t="s">
        <v>45</v>
      </c>
      <c r="C5" s="33" t="s">
        <v>46</v>
      </c>
      <c r="D5" s="21" t="s">
        <v>47</v>
      </c>
      <c r="E5" s="22" t="s">
        <v>48</v>
      </c>
      <c r="F5" s="21" t="s">
        <v>49</v>
      </c>
      <c r="G5" s="22" t="s">
        <v>50</v>
      </c>
      <c r="H5" s="21" t="s">
        <v>51</v>
      </c>
      <c r="I5" s="22" t="s">
        <v>52</v>
      </c>
      <c r="J5" s="25" t="s">
        <v>53</v>
      </c>
      <c r="K5" s="30" t="s">
        <v>54</v>
      </c>
    </row>
    <row r="6" spans="1:11" ht="15.6" customHeight="1">
      <c r="A6" s="34"/>
      <c r="B6" s="35"/>
      <c r="C6" s="36"/>
      <c r="D6" s="21" t="s">
        <v>55</v>
      </c>
      <c r="E6" s="22" t="s">
        <v>56</v>
      </c>
      <c r="F6" s="21" t="s">
        <v>57</v>
      </c>
      <c r="G6" s="22" t="s">
        <v>58</v>
      </c>
      <c r="H6" s="21" t="s">
        <v>59</v>
      </c>
      <c r="I6" s="22" t="s">
        <v>60</v>
      </c>
      <c r="J6" s="25" t="s">
        <v>61</v>
      </c>
      <c r="K6" s="30" t="s">
        <v>62</v>
      </c>
    </row>
    <row r="7" spans="1:11" ht="15" customHeight="1">
      <c r="A7" s="34"/>
      <c r="B7" s="37"/>
      <c r="C7" s="38"/>
      <c r="D7" s="21" t="s">
        <v>63</v>
      </c>
      <c r="E7" s="22" t="s">
        <v>64</v>
      </c>
      <c r="F7" s="21" t="s">
        <v>65</v>
      </c>
      <c r="G7" s="22" t="s">
        <v>66</v>
      </c>
      <c r="H7" s="21" t="s">
        <v>67</v>
      </c>
      <c r="I7" s="22" t="s">
        <v>60</v>
      </c>
      <c r="J7" s="25" t="s">
        <v>68</v>
      </c>
      <c r="K7" s="30" t="s">
        <v>69</v>
      </c>
    </row>
    <row r="8" spans="1:11" ht="16.5" customHeight="1">
      <c r="A8" s="34"/>
      <c r="B8" s="34"/>
      <c r="C8" s="34"/>
      <c r="D8" s="39" t="s">
        <v>70</v>
      </c>
      <c r="E8" s="22" t="s">
        <v>71</v>
      </c>
      <c r="F8" s="21" t="s">
        <v>72</v>
      </c>
      <c r="G8" s="22" t="s">
        <v>73</v>
      </c>
      <c r="H8" s="21" t="s">
        <v>74</v>
      </c>
      <c r="I8" s="22" t="s">
        <v>60</v>
      </c>
      <c r="J8" s="25" t="s">
        <v>75</v>
      </c>
      <c r="K8" s="30" t="s">
        <v>76</v>
      </c>
    </row>
    <row r="9" spans="1:11" ht="16.5" customHeight="1">
      <c r="A9" s="34"/>
      <c r="B9" s="34"/>
      <c r="C9" s="34"/>
      <c r="D9" s="40"/>
      <c r="E9" s="41"/>
      <c r="F9" s="21" t="s">
        <v>77</v>
      </c>
      <c r="G9" s="22" t="s">
        <v>78</v>
      </c>
      <c r="H9" s="21" t="s">
        <v>79</v>
      </c>
      <c r="I9" s="22" t="s">
        <v>60</v>
      </c>
      <c r="J9" s="25" t="s">
        <v>80</v>
      </c>
      <c r="K9" s="30" t="s">
        <v>81</v>
      </c>
    </row>
    <row r="10" spans="1:11" ht="16.5" customHeight="1">
      <c r="A10" s="34"/>
      <c r="B10" s="34"/>
      <c r="C10" s="31"/>
      <c r="D10" s="42"/>
      <c r="E10" s="43"/>
      <c r="F10" s="21" t="s">
        <v>82</v>
      </c>
      <c r="G10" s="22" t="s">
        <v>83</v>
      </c>
      <c r="H10" s="21" t="s">
        <v>84</v>
      </c>
      <c r="I10" s="22" t="s">
        <v>60</v>
      </c>
      <c r="J10" s="25" t="s">
        <v>85</v>
      </c>
      <c r="K10" s="30" t="s">
        <v>86</v>
      </c>
    </row>
    <row r="11" spans="1:11" ht="16.5" customHeight="1">
      <c r="A11" s="34"/>
      <c r="B11" s="34"/>
      <c r="C11" s="34"/>
      <c r="D11" s="35"/>
      <c r="E11" s="36"/>
      <c r="F11" s="21" t="s">
        <v>87</v>
      </c>
      <c r="G11" s="22" t="s">
        <v>88</v>
      </c>
      <c r="H11" s="21" t="s">
        <v>89</v>
      </c>
      <c r="I11" s="22" t="s">
        <v>60</v>
      </c>
      <c r="J11" s="25" t="s">
        <v>90</v>
      </c>
      <c r="K11" s="30" t="s">
        <v>91</v>
      </c>
    </row>
    <row r="12" spans="1:11" ht="16.5" customHeight="1">
      <c r="A12" s="34"/>
      <c r="B12" s="34"/>
      <c r="C12" s="34"/>
      <c r="D12" s="37"/>
      <c r="E12" s="38"/>
      <c r="F12" s="32" t="s">
        <v>92</v>
      </c>
      <c r="G12" s="33" t="s">
        <v>93</v>
      </c>
      <c r="H12" s="21" t="s">
        <v>94</v>
      </c>
      <c r="I12" s="22" t="s">
        <v>60</v>
      </c>
      <c r="J12" s="25" t="s">
        <v>95</v>
      </c>
      <c r="K12" s="30" t="s">
        <v>96</v>
      </c>
    </row>
    <row r="13" spans="1:11" ht="16.5" customHeight="1">
      <c r="A13" s="34"/>
      <c r="B13" s="34"/>
      <c r="C13" s="34"/>
      <c r="D13" s="44"/>
      <c r="E13" s="44"/>
      <c r="F13" s="35"/>
      <c r="G13" s="36"/>
      <c r="H13" s="21" t="s">
        <v>97</v>
      </c>
      <c r="I13" s="22" t="s">
        <v>60</v>
      </c>
      <c r="J13" s="25" t="s">
        <v>98</v>
      </c>
      <c r="K13" s="30" t="s">
        <v>99</v>
      </c>
    </row>
    <row r="14" spans="1:11" ht="16.5" customHeight="1">
      <c r="A14" s="34"/>
      <c r="B14" s="34"/>
      <c r="C14" s="34"/>
      <c r="D14" s="34"/>
      <c r="E14" s="34"/>
      <c r="F14" s="37"/>
      <c r="G14" s="38"/>
      <c r="H14" s="21" t="s">
        <v>100</v>
      </c>
      <c r="I14" s="22" t="s">
        <v>60</v>
      </c>
      <c r="J14" s="25" t="s">
        <v>101</v>
      </c>
      <c r="K14" s="30" t="s">
        <v>102</v>
      </c>
    </row>
    <row r="15" spans="1:11" ht="16.5" customHeight="1">
      <c r="A15" s="34"/>
      <c r="B15" s="34"/>
      <c r="C15" s="34"/>
      <c r="D15" s="34"/>
      <c r="E15" s="34"/>
      <c r="F15" s="37"/>
      <c r="G15" s="38"/>
      <c r="H15" s="21" t="s">
        <v>103</v>
      </c>
      <c r="I15" s="22" t="s">
        <v>60</v>
      </c>
      <c r="J15" s="25" t="s">
        <v>104</v>
      </c>
      <c r="K15" s="30" t="s">
        <v>105</v>
      </c>
    </row>
    <row r="16" spans="1:11" ht="16.5" customHeight="1">
      <c r="A16" s="34"/>
      <c r="B16" s="34"/>
      <c r="C16" s="34"/>
      <c r="D16" s="34"/>
      <c r="E16" s="34"/>
      <c r="F16" s="37"/>
      <c r="G16" s="38"/>
      <c r="H16" s="21" t="s">
        <v>106</v>
      </c>
      <c r="I16" s="22" t="s">
        <v>60</v>
      </c>
      <c r="J16" s="25" t="s">
        <v>107</v>
      </c>
      <c r="K16" s="30" t="s">
        <v>108</v>
      </c>
    </row>
    <row r="17" spans="1:11" ht="16.5" customHeight="1">
      <c r="A17" s="34"/>
      <c r="B17" s="34"/>
      <c r="C17" s="34"/>
      <c r="D17" s="34"/>
      <c r="E17" s="34"/>
      <c r="F17" s="37"/>
      <c r="G17" s="38"/>
      <c r="H17" s="21" t="s">
        <v>109</v>
      </c>
      <c r="I17" s="22" t="s">
        <v>60</v>
      </c>
      <c r="J17" s="25" t="s">
        <v>110</v>
      </c>
      <c r="K17" s="30" t="s">
        <v>111</v>
      </c>
    </row>
    <row r="18" spans="1:11" ht="16.5" customHeight="1">
      <c r="A18" s="34"/>
      <c r="B18" s="34"/>
      <c r="C18" s="34"/>
      <c r="D18" s="34"/>
      <c r="E18" s="34"/>
      <c r="F18" s="37"/>
      <c r="G18" s="38"/>
      <c r="H18" s="21" t="s">
        <v>112</v>
      </c>
      <c r="I18" s="22" t="s">
        <v>60</v>
      </c>
      <c r="J18" s="25" t="s">
        <v>113</v>
      </c>
      <c r="K18" s="30" t="s">
        <v>114</v>
      </c>
    </row>
    <row r="19" spans="1:11" ht="16.5" customHeight="1">
      <c r="A19" s="34"/>
      <c r="B19" s="34"/>
      <c r="C19" s="34"/>
      <c r="D19" s="34"/>
      <c r="E19" s="34"/>
      <c r="F19" s="37"/>
      <c r="G19" s="38"/>
      <c r="H19" s="21" t="s">
        <v>115</v>
      </c>
      <c r="I19" s="22" t="s">
        <v>60</v>
      </c>
      <c r="J19" s="25" t="s">
        <v>116</v>
      </c>
      <c r="K19" s="30" t="s">
        <v>117</v>
      </c>
    </row>
    <row r="20" spans="1:11" ht="16.5" customHeight="1">
      <c r="A20" s="34"/>
      <c r="B20" s="34"/>
      <c r="C20" s="34"/>
      <c r="D20" s="34"/>
      <c r="E20" s="34"/>
      <c r="F20" s="37"/>
      <c r="G20" s="38"/>
      <c r="H20" s="21" t="s">
        <v>118</v>
      </c>
      <c r="I20" s="22" t="s">
        <v>60</v>
      </c>
      <c r="J20" s="25" t="s">
        <v>119</v>
      </c>
      <c r="K20" s="30" t="s">
        <v>120</v>
      </c>
    </row>
    <row r="21" spans="1:11" ht="16.5" customHeight="1">
      <c r="A21" s="34"/>
      <c r="B21" s="34"/>
      <c r="C21" s="34"/>
      <c r="D21" s="34"/>
      <c r="E21" s="34"/>
      <c r="F21" s="37"/>
      <c r="G21" s="38"/>
      <c r="H21" s="21" t="s">
        <v>121</v>
      </c>
      <c r="I21" s="22" t="s">
        <v>60</v>
      </c>
      <c r="J21" s="25" t="s">
        <v>122</v>
      </c>
      <c r="K21" s="30" t="s">
        <v>123</v>
      </c>
    </row>
    <row r="22" spans="1:11" ht="16.5" customHeight="1">
      <c r="A22" s="34"/>
      <c r="B22" s="34"/>
      <c r="C22" s="34"/>
      <c r="D22" s="34"/>
      <c r="E22" s="34"/>
      <c r="F22" s="37"/>
      <c r="G22" s="38"/>
      <c r="H22" s="21" t="s">
        <v>124</v>
      </c>
      <c r="I22" s="22" t="s">
        <v>60</v>
      </c>
      <c r="J22" s="25" t="s">
        <v>125</v>
      </c>
      <c r="K22" s="26" t="s">
        <v>126</v>
      </c>
    </row>
    <row r="23" spans="1:11" ht="16.5" customHeight="1">
      <c r="A23" s="34"/>
      <c r="B23" s="34"/>
      <c r="C23" s="34"/>
      <c r="D23" s="34"/>
      <c r="E23" s="34"/>
      <c r="F23" s="37"/>
      <c r="G23" s="38"/>
      <c r="H23" s="21" t="s">
        <v>127</v>
      </c>
      <c r="I23" s="22" t="s">
        <v>128</v>
      </c>
      <c r="J23" s="25" t="s">
        <v>129</v>
      </c>
      <c r="K23" s="26" t="s">
        <v>130</v>
      </c>
    </row>
    <row r="24" spans="1:11" ht="16.5" customHeight="1">
      <c r="A24" s="34"/>
      <c r="B24" s="34"/>
      <c r="C24" s="34"/>
      <c r="D24" s="34"/>
      <c r="E24" s="34"/>
      <c r="F24" s="37"/>
      <c r="G24" s="38"/>
      <c r="H24" s="45"/>
      <c r="I24" s="46"/>
      <c r="J24" s="47" t="s">
        <v>131</v>
      </c>
      <c r="K24" s="48" t="s">
        <v>96</v>
      </c>
    </row>
    <row r="25" spans="1:11" ht="16.5" customHeight="1">
      <c r="A25" s="34"/>
      <c r="B25" s="34"/>
      <c r="C25" s="34"/>
      <c r="D25" s="34"/>
      <c r="E25" s="34"/>
      <c r="F25" s="37"/>
      <c r="G25" s="38"/>
      <c r="H25" s="45"/>
      <c r="I25" s="46"/>
      <c r="J25" s="49" t="s">
        <v>132</v>
      </c>
      <c r="K25" s="50" t="s">
        <v>133</v>
      </c>
    </row>
    <row r="26" spans="1:11" ht="16.5" customHeight="1">
      <c r="A26" s="34"/>
      <c r="B26" s="34"/>
      <c r="C26" s="34"/>
      <c r="D26" s="34"/>
      <c r="E26" s="34"/>
      <c r="F26" s="37"/>
      <c r="G26" s="38"/>
      <c r="H26" s="25" t="s">
        <v>134</v>
      </c>
      <c r="I26" s="22" t="s">
        <v>135</v>
      </c>
      <c r="J26" s="51" t="s">
        <v>136</v>
      </c>
      <c r="K26" s="52" t="s">
        <v>137</v>
      </c>
    </row>
    <row r="27" spans="1:11" ht="16.5" customHeight="1">
      <c r="A27" s="34"/>
      <c r="B27" s="34"/>
      <c r="C27" s="34"/>
      <c r="D27" s="34"/>
      <c r="E27" s="34"/>
      <c r="F27" s="34"/>
      <c r="G27" s="38"/>
      <c r="H27" s="53" t="s">
        <v>138</v>
      </c>
      <c r="I27" s="54" t="s">
        <v>139</v>
      </c>
      <c r="J27" s="55"/>
      <c r="K27" s="56"/>
    </row>
    <row r="28" spans="1:11" ht="16.5" customHeight="1">
      <c r="A28" s="34"/>
      <c r="B28" s="34"/>
      <c r="C28" s="34"/>
      <c r="D28" s="34"/>
      <c r="E28" s="34"/>
      <c r="F28" s="57"/>
      <c r="G28" s="57"/>
      <c r="H28" s="58"/>
      <c r="I28" s="58"/>
      <c r="J28" s="44"/>
      <c r="K28" s="44"/>
    </row>
    <row r="29" spans="1:11" ht="18" customHeight="1">
      <c r="A29" s="34"/>
      <c r="B29" s="34"/>
      <c r="C29" s="34"/>
      <c r="D29" s="34"/>
      <c r="E29" s="34"/>
      <c r="F29" s="44"/>
      <c r="G29" s="44"/>
      <c r="H29" s="34"/>
      <c r="I29" s="34"/>
      <c r="J29" s="57"/>
      <c r="K29" s="57"/>
    </row>
    <row r="30" spans="1:11" ht="16.5" customHeight="1">
      <c r="A30" s="34"/>
      <c r="B30" s="34"/>
      <c r="C30" s="34"/>
      <c r="D30" s="34"/>
      <c r="E30" s="34"/>
      <c r="F30" s="44"/>
      <c r="G30" s="44"/>
      <c r="H30" s="59"/>
      <c r="I30" s="59"/>
      <c r="J30" s="34"/>
      <c r="K30" s="34"/>
    </row>
    <row r="31" spans="1:11" ht="16.5" customHeight="1">
      <c r="A31" s="59"/>
      <c r="B31" s="59"/>
      <c r="C31" s="59"/>
      <c r="D31" s="59"/>
      <c r="E31" s="59"/>
      <c r="F31" s="34"/>
      <c r="G31" s="34"/>
      <c r="H31" s="60"/>
      <c r="I31" s="60"/>
      <c r="J31" s="34"/>
      <c r="K31" s="34"/>
    </row>
    <row r="32" spans="1:11" ht="16.5" customHeight="1">
      <c r="A32" s="60"/>
      <c r="B32" s="60"/>
      <c r="C32" s="60"/>
      <c r="D32" s="60"/>
      <c r="E32" s="60"/>
      <c r="F32" s="61"/>
      <c r="G32" s="61"/>
      <c r="H32" s="60"/>
      <c r="I32" s="60"/>
      <c r="J32" s="62"/>
      <c r="K32" s="62"/>
    </row>
    <row r="33" spans="1:11" ht="16.5" customHeight="1">
      <c r="A33" s="60"/>
      <c r="B33" s="60"/>
      <c r="C33" s="60"/>
      <c r="D33" s="60"/>
      <c r="E33" s="60"/>
      <c r="F33" s="61"/>
      <c r="G33" s="61"/>
      <c r="H33" s="60"/>
      <c r="I33" s="60"/>
      <c r="J33" s="61"/>
      <c r="K33" s="61"/>
    </row>
    <row r="34" spans="1:11" ht="16.5" customHeight="1">
      <c r="A34" s="60"/>
      <c r="B34" s="60"/>
      <c r="C34" s="60"/>
      <c r="D34" s="60"/>
      <c r="E34" s="60"/>
      <c r="F34" s="61"/>
      <c r="G34" s="61"/>
      <c r="H34" s="60"/>
      <c r="I34" s="60"/>
      <c r="J34" s="60"/>
      <c r="K34" s="60"/>
    </row>
    <row r="35" spans="1:11" ht="16.5" customHeight="1">
      <c r="A35" s="60"/>
      <c r="B35" s="60"/>
      <c r="C35" s="60"/>
      <c r="D35" s="60"/>
      <c r="E35" s="60"/>
      <c r="F35" s="61"/>
      <c r="G35" s="61"/>
      <c r="H35" s="60"/>
      <c r="I35" s="60"/>
      <c r="J35" s="60"/>
      <c r="K35" s="60"/>
    </row>
    <row r="36" spans="1:11" ht="16.5" customHeight="1">
      <c r="A36" s="60"/>
      <c r="B36" s="60"/>
      <c r="C36" s="60"/>
      <c r="D36" s="60"/>
      <c r="E36" s="60"/>
      <c r="F36" s="60"/>
      <c r="G36" s="60"/>
      <c r="H36" s="60"/>
      <c r="I36" s="60"/>
      <c r="J36" s="60"/>
      <c r="K36" s="60"/>
    </row>
    <row r="37" spans="1:11" ht="16.5" customHeight="1">
      <c r="A37" s="60"/>
      <c r="B37" s="60"/>
      <c r="C37" s="60"/>
      <c r="D37" s="60"/>
      <c r="E37" s="60"/>
      <c r="F37" s="60"/>
      <c r="G37" s="60"/>
      <c r="H37" s="60"/>
      <c r="I37" s="60"/>
      <c r="J37" s="60"/>
      <c r="K37" s="60"/>
    </row>
    <row r="38" spans="1:11" ht="16.5" customHeight="1">
      <c r="A38" s="60"/>
      <c r="B38" s="60"/>
      <c r="C38" s="60"/>
      <c r="D38" s="60"/>
      <c r="E38" s="60"/>
      <c r="F38" s="60"/>
      <c r="G38" s="60"/>
      <c r="H38" s="60"/>
      <c r="I38" s="60"/>
      <c r="J38" s="60"/>
      <c r="K38" s="60"/>
    </row>
    <row r="39" spans="1:11" ht="16.5" customHeight="1">
      <c r="A39" s="60"/>
      <c r="B39" s="60"/>
      <c r="C39" s="60"/>
      <c r="D39" s="60"/>
      <c r="E39" s="60"/>
      <c r="F39" s="60"/>
      <c r="G39" s="60"/>
      <c r="H39" s="44"/>
      <c r="I39" s="44"/>
      <c r="J39" s="60"/>
      <c r="K39" s="60"/>
    </row>
    <row r="40" spans="1:11" ht="16.5" customHeight="1">
      <c r="A40" s="63"/>
      <c r="B40" s="63"/>
      <c r="C40" s="64"/>
      <c r="D40" s="63"/>
      <c r="E40" s="63"/>
      <c r="F40" s="60"/>
      <c r="G40" s="60"/>
      <c r="H40" s="44"/>
      <c r="I40" s="44"/>
      <c r="J40" s="60"/>
      <c r="K40" s="60"/>
    </row>
    <row r="41" spans="1:11" ht="16.5" customHeight="1">
      <c r="A41" s="63"/>
      <c r="B41" s="63"/>
      <c r="C41" s="64"/>
      <c r="D41" s="64"/>
      <c r="E41" s="64"/>
      <c r="F41" s="60"/>
      <c r="G41" s="60"/>
      <c r="H41" s="44"/>
      <c r="I41" s="44"/>
      <c r="J41" s="60"/>
      <c r="K41" s="60"/>
    </row>
    <row r="42" spans="1:11" ht="16.5" customHeight="1">
      <c r="A42" s="63"/>
      <c r="B42" s="63"/>
      <c r="C42" s="64"/>
      <c r="D42" s="64"/>
      <c r="E42" s="64"/>
      <c r="F42" s="60"/>
      <c r="G42" s="60"/>
      <c r="H42" s="44"/>
      <c r="I42" s="44"/>
      <c r="J42" s="44"/>
      <c r="K42" s="44"/>
    </row>
    <row r="43" spans="1:11" ht="16.5" customHeight="1">
      <c r="A43" s="63"/>
      <c r="B43" s="63"/>
      <c r="C43" s="64"/>
      <c r="D43" s="64"/>
      <c r="E43" s="64"/>
      <c r="F43" s="60"/>
      <c r="G43" s="60"/>
      <c r="H43" s="44"/>
      <c r="I43" s="44"/>
      <c r="J43" s="44"/>
      <c r="K43" s="44"/>
    </row>
    <row r="44" spans="1:11" ht="16.5" customHeight="1">
      <c r="A44" s="63"/>
      <c r="B44" s="63"/>
      <c r="C44" s="64"/>
      <c r="D44" s="64"/>
      <c r="E44" s="64"/>
      <c r="F44" s="44"/>
      <c r="G44" s="44"/>
      <c r="H44" s="44"/>
      <c r="I44" s="44"/>
      <c r="J44" s="44"/>
      <c r="K44" s="44"/>
    </row>
    <row r="45" spans="1:11" ht="16.5" customHeight="1">
      <c r="A45" s="63"/>
      <c r="B45" s="63"/>
      <c r="C45" s="64"/>
      <c r="D45" s="64"/>
      <c r="E45" s="64"/>
      <c r="F45" s="44"/>
      <c r="G45" s="44"/>
      <c r="H45" s="44"/>
      <c r="I45" s="44"/>
      <c r="J45" s="44"/>
      <c r="K45" s="44"/>
    </row>
    <row r="46" spans="1:11" ht="16.5" customHeight="1">
      <c r="A46" s="63"/>
      <c r="B46" s="63"/>
      <c r="C46" s="64"/>
      <c r="D46" s="64"/>
      <c r="E46" s="65"/>
      <c r="F46" s="44"/>
      <c r="G46" s="44"/>
      <c r="H46" s="44"/>
      <c r="I46" s="44"/>
      <c r="J46" s="44"/>
      <c r="K46" s="44"/>
    </row>
    <row r="47" spans="1:11" ht="16.5" customHeight="1">
      <c r="A47" s="63"/>
      <c r="B47" s="63"/>
      <c r="C47" s="64"/>
      <c r="D47" s="64"/>
      <c r="E47" s="65"/>
      <c r="F47" s="44"/>
      <c r="G47" s="44"/>
      <c r="H47" s="44"/>
      <c r="I47" s="44"/>
      <c r="J47" s="44"/>
      <c r="K47" s="44"/>
    </row>
    <row r="48" spans="1:11" ht="16.5" customHeight="1">
      <c r="A48" s="63"/>
      <c r="B48" s="63"/>
      <c r="C48" s="64"/>
      <c r="D48" s="64"/>
      <c r="E48" s="64"/>
      <c r="F48" s="44"/>
      <c r="G48" s="44"/>
      <c r="H48" s="44"/>
      <c r="I48" s="44"/>
      <c r="J48" s="44"/>
      <c r="K48" s="44"/>
    </row>
    <row r="49" spans="1:11" ht="16.5" customHeight="1">
      <c r="A49" s="63"/>
      <c r="B49" s="63"/>
      <c r="C49" s="64"/>
      <c r="D49" s="64"/>
      <c r="E49" s="65"/>
      <c r="F49" s="44"/>
      <c r="G49" s="44"/>
      <c r="H49" s="44"/>
      <c r="I49" s="44"/>
      <c r="J49" s="44"/>
      <c r="K49" s="44"/>
    </row>
    <row r="50" spans="1:11" ht="16.5" customHeight="1">
      <c r="A50" s="63"/>
      <c r="B50" s="63"/>
      <c r="C50" s="64"/>
      <c r="D50" s="63"/>
      <c r="E50" s="63"/>
      <c r="F50" s="44"/>
      <c r="G50" s="44"/>
      <c r="H50" s="44"/>
      <c r="I50" s="44"/>
      <c r="J50" s="44"/>
      <c r="K50" s="44"/>
    </row>
    <row r="51" spans="1:11" ht="16.5" customHeight="1">
      <c r="A51" s="63"/>
      <c r="B51" s="63"/>
      <c r="C51" s="64"/>
      <c r="D51" s="64"/>
      <c r="E51" s="66"/>
      <c r="F51" s="44"/>
      <c r="G51" s="44"/>
      <c r="H51" s="44"/>
      <c r="I51" s="44"/>
      <c r="J51" s="44"/>
      <c r="K51" s="44"/>
    </row>
    <row r="52" spans="1:11" ht="16.5" customHeight="1">
      <c r="A52" s="63"/>
      <c r="B52" s="63"/>
      <c r="C52" s="64"/>
      <c r="D52" s="64"/>
      <c r="E52" s="66"/>
      <c r="F52" s="44"/>
      <c r="G52" s="44"/>
      <c r="H52" s="44"/>
      <c r="I52" s="44"/>
      <c r="J52" s="44"/>
      <c r="K52" s="44"/>
    </row>
    <row r="53" spans="1:11" ht="16.5" customHeight="1">
      <c r="A53" s="63"/>
      <c r="B53" s="63"/>
      <c r="C53" s="64"/>
      <c r="D53" s="64"/>
      <c r="E53" s="63"/>
      <c r="F53" s="44"/>
      <c r="G53" s="44"/>
      <c r="H53" s="44"/>
      <c r="I53" s="44"/>
      <c r="J53" s="44"/>
      <c r="K53" s="44"/>
    </row>
    <row r="54" spans="1:11" ht="16.5" customHeight="1">
      <c r="A54" s="63"/>
      <c r="B54" s="63"/>
      <c r="C54" s="64"/>
      <c r="D54" s="64"/>
      <c r="E54" s="63"/>
      <c r="F54" s="44"/>
      <c r="G54" s="44"/>
      <c r="H54" s="44"/>
      <c r="I54" s="44"/>
      <c r="J54" s="44"/>
      <c r="K54" s="44"/>
    </row>
    <row r="55" spans="1:11" ht="16.5" customHeight="1">
      <c r="A55" s="44"/>
      <c r="B55" s="44"/>
      <c r="C55" s="64"/>
      <c r="D55" s="44"/>
      <c r="E55" s="44"/>
      <c r="F55" s="44"/>
      <c r="G55" s="44"/>
      <c r="H55" s="44"/>
      <c r="I55" s="44"/>
      <c r="J55" s="44"/>
      <c r="K55" s="44"/>
    </row>
    <row r="56" spans="1:11" ht="16.5" customHeight="1">
      <c r="A56" s="44"/>
      <c r="B56" s="44"/>
      <c r="C56" s="64"/>
      <c r="D56" s="44"/>
      <c r="E56" s="44"/>
      <c r="F56" s="44"/>
      <c r="G56" s="44"/>
      <c r="H56" s="44"/>
      <c r="I56" s="44"/>
      <c r="J56" s="44"/>
      <c r="K56" s="44"/>
    </row>
  </sheetData>
  <mergeCells count="5">
    <mergeCell ref="B1:C1"/>
    <mergeCell ref="D1:E1"/>
    <mergeCell ref="H1:I1"/>
    <mergeCell ref="J1:K1"/>
    <mergeCell ref="F1:G1"/>
  </mergeCells>
  <dataValidations count="1">
    <dataValidation type="list" allowBlank="1" showInputMessage="1" showErrorMessage="1" sqref="K32 I34" xr:uid="{00000000-0002-0000-0100-000000000000}">
      <formula1>"ELB,REL,CAL,SCH,VAL,CME,EPU,ANP,CRO,DIS,CSA,QTE,PLN,PNT,SEZ,PRO,ABA,CRP,ARM,MET,DET,INF,CAP,SCC,TIP"</formula1>
    </dataValidation>
  </dataValidations>
  <pageMargins left="0.15748000000000001" right="0.15748000000000001" top="0.35433100000000001" bottom="0.35433100000000001" header="0.15748000000000001" footer="0.15748000000000001"/>
  <pageSetup scale="69" orientation="landscape"/>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74"/>
  <sheetViews>
    <sheetView showGridLines="0" workbookViewId="0">
      <selection activeCell="K174" sqref="K174"/>
    </sheetView>
  </sheetViews>
  <sheetFormatPr defaultColWidth="12.42578125" defaultRowHeight="15" customHeight="1"/>
  <cols>
    <col min="1" max="1" width="6.140625" style="1" customWidth="1"/>
    <col min="2" max="2" width="20.140625" style="1" customWidth="1"/>
    <col min="3" max="3" width="9.28515625" style="1" customWidth="1"/>
    <col min="4" max="4" width="7.140625" style="1" customWidth="1"/>
    <col min="5" max="5" width="5.85546875" style="1" customWidth="1"/>
    <col min="6" max="6" width="8.5703125" style="1" customWidth="1"/>
    <col min="7" max="7" width="5.7109375" style="1" customWidth="1"/>
    <col min="8" max="8" width="6.7109375" style="1" customWidth="1"/>
    <col min="9" max="9" width="7.42578125" style="1" customWidth="1"/>
    <col min="10" max="10" width="7.28515625" style="1" customWidth="1"/>
    <col min="11" max="11" width="33.140625" style="1" customWidth="1"/>
    <col min="12" max="12" width="44.28515625" style="1" customWidth="1"/>
    <col min="13" max="13" width="6.42578125" style="1" customWidth="1"/>
    <col min="14" max="14" width="28.5703125" style="1" customWidth="1"/>
    <col min="15" max="15" width="11.140625" style="1" customWidth="1"/>
    <col min="16" max="16" width="11" style="1" customWidth="1"/>
    <col min="17" max="17" width="9.7109375" style="1" customWidth="1"/>
    <col min="18" max="18" width="12.85546875" style="1" customWidth="1"/>
    <col min="19" max="19" width="12.5703125" style="1" customWidth="1"/>
    <col min="20" max="20" width="12.42578125" style="1" customWidth="1"/>
    <col min="21" max="16384" width="12.42578125" style="1"/>
  </cols>
  <sheetData>
    <row r="1" spans="1:19" ht="50.45" customHeight="1">
      <c r="A1" s="138" t="s">
        <v>140</v>
      </c>
      <c r="B1" s="139"/>
      <c r="C1" s="139"/>
      <c r="D1" s="139"/>
      <c r="E1" s="139"/>
      <c r="F1" s="139"/>
      <c r="G1" s="139"/>
      <c r="H1" s="139"/>
      <c r="I1" s="139"/>
      <c r="J1" s="139"/>
      <c r="K1" s="139"/>
      <c r="L1" s="139"/>
      <c r="M1" s="140"/>
      <c r="N1" s="67"/>
      <c r="O1" s="141" t="s">
        <v>141</v>
      </c>
      <c r="P1" s="144" t="s">
        <v>142</v>
      </c>
      <c r="Q1" s="144" t="s">
        <v>143</v>
      </c>
      <c r="R1" s="144" t="s">
        <v>144</v>
      </c>
      <c r="S1" s="147" t="s">
        <v>145</v>
      </c>
    </row>
    <row r="2" spans="1:19" ht="16.7" customHeight="1">
      <c r="A2" s="150" t="s">
        <v>146</v>
      </c>
      <c r="B2" s="151"/>
      <c r="C2" s="151"/>
      <c r="D2" s="151"/>
      <c r="E2" s="151"/>
      <c r="F2" s="151"/>
      <c r="G2" s="151"/>
      <c r="H2" s="151"/>
      <c r="I2" s="151"/>
      <c r="J2" s="151"/>
      <c r="K2" s="151"/>
      <c r="L2" s="151"/>
      <c r="M2" s="152"/>
      <c r="N2" s="68"/>
      <c r="O2" s="142"/>
      <c r="P2" s="145"/>
      <c r="Q2" s="145"/>
      <c r="R2" s="145"/>
      <c r="S2" s="148"/>
    </row>
    <row r="3" spans="1:19" ht="30" customHeight="1">
      <c r="A3" s="69"/>
      <c r="B3" s="70" t="s">
        <v>147</v>
      </c>
      <c r="C3" s="70" t="s">
        <v>148</v>
      </c>
      <c r="D3" s="70" t="s">
        <v>149</v>
      </c>
      <c r="E3" s="70" t="s">
        <v>150</v>
      </c>
      <c r="F3" s="71" t="s">
        <v>151</v>
      </c>
      <c r="G3" s="70" t="s">
        <v>152</v>
      </c>
      <c r="H3" s="70" t="s">
        <v>153</v>
      </c>
      <c r="I3" s="70" t="s">
        <v>154</v>
      </c>
      <c r="J3" s="70" t="s">
        <v>155</v>
      </c>
      <c r="K3" s="70" t="s">
        <v>156</v>
      </c>
      <c r="L3" s="72" t="s">
        <v>157</v>
      </c>
      <c r="M3" s="73" t="s">
        <v>158</v>
      </c>
      <c r="N3" s="74" t="s">
        <v>159</v>
      </c>
      <c r="O3" s="143"/>
      <c r="P3" s="146"/>
      <c r="Q3" s="146"/>
      <c r="R3" s="146"/>
      <c r="S3" s="149"/>
    </row>
    <row r="4" spans="1:19" ht="30" customHeight="1">
      <c r="A4" s="75"/>
      <c r="B4" s="76" t="s">
        <v>160</v>
      </c>
      <c r="C4" s="77" t="s">
        <v>161</v>
      </c>
      <c r="D4" s="77" t="s">
        <v>35</v>
      </c>
      <c r="E4" s="77" t="s">
        <v>18</v>
      </c>
      <c r="F4" s="77" t="s">
        <v>20</v>
      </c>
      <c r="G4" s="77" t="s">
        <v>22</v>
      </c>
      <c r="H4" s="77" t="s">
        <v>23</v>
      </c>
      <c r="I4" s="77" t="s">
        <v>162</v>
      </c>
      <c r="J4" s="77" t="s">
        <v>163</v>
      </c>
      <c r="K4" s="78" t="str">
        <f t="shared" ref="K4:K20" si="0">CONCATENATE(D4,".",E4,".",F4,".",G4,".",H4,".",I4,".",J4)</f>
        <v>PE.0G.GN.GE.ELB.000.00</v>
      </c>
      <c r="L4" s="79" t="s">
        <v>164</v>
      </c>
      <c r="M4" s="76" t="s">
        <v>165</v>
      </c>
      <c r="N4" s="80"/>
      <c r="O4" s="81"/>
      <c r="P4" s="82"/>
      <c r="Q4" s="83"/>
      <c r="R4" s="83"/>
      <c r="S4" s="84"/>
    </row>
    <row r="5" spans="1:19" ht="30" customHeight="1">
      <c r="A5" s="75"/>
      <c r="B5" s="76" t="s">
        <v>160</v>
      </c>
      <c r="C5" s="77" t="s">
        <v>161</v>
      </c>
      <c r="D5" s="77" t="s">
        <v>35</v>
      </c>
      <c r="E5" s="77" t="s">
        <v>18</v>
      </c>
      <c r="F5" s="77" t="s">
        <v>20</v>
      </c>
      <c r="G5" s="77" t="s">
        <v>22</v>
      </c>
      <c r="H5" s="77" t="s">
        <v>33</v>
      </c>
      <c r="I5" s="77" t="s">
        <v>166</v>
      </c>
      <c r="J5" s="77" t="s">
        <v>163</v>
      </c>
      <c r="K5" s="78" t="str">
        <f t="shared" si="0"/>
        <v>PE.0G.GN.GE.REL.001.00</v>
      </c>
      <c r="L5" s="79" t="s">
        <v>167</v>
      </c>
      <c r="M5" s="76" t="s">
        <v>165</v>
      </c>
      <c r="N5" s="80"/>
      <c r="O5" s="81"/>
      <c r="P5" s="82"/>
      <c r="Q5" s="82"/>
      <c r="R5" s="82"/>
      <c r="S5" s="84"/>
    </row>
    <row r="6" spans="1:19" ht="30" customHeight="1">
      <c r="A6" s="75"/>
      <c r="B6" s="76" t="s">
        <v>160</v>
      </c>
      <c r="C6" s="77" t="s">
        <v>161</v>
      </c>
      <c r="D6" s="77" t="s">
        <v>35</v>
      </c>
      <c r="E6" s="77" t="s">
        <v>18</v>
      </c>
      <c r="F6" s="77" t="s">
        <v>20</v>
      </c>
      <c r="G6" s="77" t="s">
        <v>22</v>
      </c>
      <c r="H6" s="77" t="s">
        <v>33</v>
      </c>
      <c r="I6" s="77" t="s">
        <v>168</v>
      </c>
      <c r="J6" s="77" t="s">
        <v>163</v>
      </c>
      <c r="K6" s="78" t="str">
        <f t="shared" si="0"/>
        <v>PE.0G.GN.GE.REL.002.00</v>
      </c>
      <c r="L6" s="79" t="s">
        <v>169</v>
      </c>
      <c r="M6" s="76" t="s">
        <v>165</v>
      </c>
      <c r="N6" s="80"/>
      <c r="O6" s="81"/>
      <c r="P6" s="82"/>
      <c r="Q6" s="82"/>
      <c r="R6" s="82"/>
      <c r="S6" s="84"/>
    </row>
    <row r="7" spans="1:19" ht="30" customHeight="1">
      <c r="A7" s="75"/>
      <c r="B7" s="76" t="s">
        <v>160</v>
      </c>
      <c r="C7" s="77" t="s">
        <v>161</v>
      </c>
      <c r="D7" s="77" t="s">
        <v>35</v>
      </c>
      <c r="E7" s="77" t="s">
        <v>18</v>
      </c>
      <c r="F7" s="77" t="s">
        <v>20</v>
      </c>
      <c r="G7" s="77" t="s">
        <v>22</v>
      </c>
      <c r="H7" s="77" t="s">
        <v>33</v>
      </c>
      <c r="I7" s="77" t="s">
        <v>170</v>
      </c>
      <c r="J7" s="77" t="s">
        <v>163</v>
      </c>
      <c r="K7" s="78" t="str">
        <f t="shared" si="0"/>
        <v>PE.0G.GN.GE.REL.003.00</v>
      </c>
      <c r="L7" s="79" t="s">
        <v>171</v>
      </c>
      <c r="M7" s="76" t="s">
        <v>165</v>
      </c>
      <c r="N7" s="80"/>
      <c r="O7" s="81"/>
      <c r="P7" s="82"/>
      <c r="Q7" s="82"/>
      <c r="R7" s="82"/>
      <c r="S7" s="84"/>
    </row>
    <row r="8" spans="1:19" ht="30" customHeight="1">
      <c r="A8" s="75"/>
      <c r="B8" s="76" t="s">
        <v>160</v>
      </c>
      <c r="C8" s="77" t="s">
        <v>161</v>
      </c>
      <c r="D8" s="77" t="s">
        <v>35</v>
      </c>
      <c r="E8" s="77" t="s">
        <v>18</v>
      </c>
      <c r="F8" s="77" t="s">
        <v>20</v>
      </c>
      <c r="G8" s="77" t="s">
        <v>22</v>
      </c>
      <c r="H8" s="77" t="s">
        <v>33</v>
      </c>
      <c r="I8" s="77" t="s">
        <v>172</v>
      </c>
      <c r="J8" s="77" t="s">
        <v>163</v>
      </c>
      <c r="K8" s="78" t="str">
        <f t="shared" si="0"/>
        <v>PE.0G.GN.GE.REL.004.00</v>
      </c>
      <c r="L8" s="79" t="s">
        <v>173</v>
      </c>
      <c r="M8" s="76" t="s">
        <v>165</v>
      </c>
      <c r="N8" s="80"/>
      <c r="O8" s="81"/>
      <c r="P8" s="82"/>
      <c r="Q8" s="82"/>
      <c r="R8" s="82"/>
      <c r="S8" s="84"/>
    </row>
    <row r="9" spans="1:19" ht="30" customHeight="1">
      <c r="A9" s="75"/>
      <c r="B9" s="76" t="s">
        <v>160</v>
      </c>
      <c r="C9" s="77" t="s">
        <v>161</v>
      </c>
      <c r="D9" s="77" t="s">
        <v>35</v>
      </c>
      <c r="E9" s="77" t="s">
        <v>18</v>
      </c>
      <c r="F9" s="77" t="s">
        <v>20</v>
      </c>
      <c r="G9" s="77" t="s">
        <v>22</v>
      </c>
      <c r="H9" s="77" t="s">
        <v>33</v>
      </c>
      <c r="I9" s="77" t="s">
        <v>174</v>
      </c>
      <c r="J9" s="77" t="s">
        <v>163</v>
      </c>
      <c r="K9" s="78" t="str">
        <f t="shared" si="0"/>
        <v>PE.0G.GN.GE.REL.005.00</v>
      </c>
      <c r="L9" s="79" t="s">
        <v>175</v>
      </c>
      <c r="M9" s="76" t="s">
        <v>165</v>
      </c>
      <c r="N9" s="80"/>
      <c r="O9" s="81"/>
      <c r="P9" s="82"/>
      <c r="Q9" s="82"/>
      <c r="R9" s="82"/>
      <c r="S9" s="84"/>
    </row>
    <row r="10" spans="1:19" ht="30" customHeight="1">
      <c r="A10" s="75"/>
      <c r="B10" s="76" t="s">
        <v>160</v>
      </c>
      <c r="C10" s="77" t="s">
        <v>161</v>
      </c>
      <c r="D10" s="77" t="s">
        <v>35</v>
      </c>
      <c r="E10" s="77" t="s">
        <v>18</v>
      </c>
      <c r="F10" s="77" t="s">
        <v>20</v>
      </c>
      <c r="G10" s="77" t="s">
        <v>22</v>
      </c>
      <c r="H10" s="77" t="s">
        <v>33</v>
      </c>
      <c r="I10" s="77" t="s">
        <v>176</v>
      </c>
      <c r="J10" s="77" t="s">
        <v>163</v>
      </c>
      <c r="K10" s="78" t="str">
        <f t="shared" si="0"/>
        <v>PE.0G.GN.GE.REL.006.00</v>
      </c>
      <c r="L10" s="79" t="s">
        <v>177</v>
      </c>
      <c r="M10" s="76" t="s">
        <v>165</v>
      </c>
      <c r="N10" s="80"/>
      <c r="O10" s="81"/>
      <c r="P10" s="82"/>
      <c r="Q10" s="82"/>
      <c r="R10" s="82"/>
      <c r="S10" s="84"/>
    </row>
    <row r="11" spans="1:19" ht="30" customHeight="1">
      <c r="A11" s="75"/>
      <c r="B11" s="76" t="s">
        <v>160</v>
      </c>
      <c r="C11" s="77" t="s">
        <v>161</v>
      </c>
      <c r="D11" s="77" t="s">
        <v>35</v>
      </c>
      <c r="E11" s="77" t="s">
        <v>18</v>
      </c>
      <c r="F11" s="77" t="s">
        <v>20</v>
      </c>
      <c r="G11" s="77" t="s">
        <v>22</v>
      </c>
      <c r="H11" s="77" t="s">
        <v>23</v>
      </c>
      <c r="I11" s="77" t="s">
        <v>178</v>
      </c>
      <c r="J11" s="77" t="s">
        <v>163</v>
      </c>
      <c r="K11" s="78" t="str">
        <f t="shared" si="0"/>
        <v>PE.0G.GN.GE.ELB.007.00</v>
      </c>
      <c r="L11" s="79" t="s">
        <v>179</v>
      </c>
      <c r="M11" s="76" t="s">
        <v>165</v>
      </c>
      <c r="N11" s="80"/>
      <c r="O11" s="81"/>
      <c r="P11" s="82"/>
      <c r="Q11" s="82"/>
      <c r="R11" s="82"/>
      <c r="S11" s="84"/>
    </row>
    <row r="12" spans="1:19" ht="30" customHeight="1">
      <c r="A12" s="75"/>
      <c r="B12" s="76" t="s">
        <v>160</v>
      </c>
      <c r="C12" s="77" t="s">
        <v>161</v>
      </c>
      <c r="D12" s="77" t="s">
        <v>35</v>
      </c>
      <c r="E12" s="77" t="s">
        <v>18</v>
      </c>
      <c r="F12" s="77" t="s">
        <v>20</v>
      </c>
      <c r="G12" s="77" t="s">
        <v>22</v>
      </c>
      <c r="H12" s="77" t="s">
        <v>23</v>
      </c>
      <c r="I12" s="77" t="s">
        <v>180</v>
      </c>
      <c r="J12" s="77" t="s">
        <v>163</v>
      </c>
      <c r="K12" s="78" t="str">
        <f t="shared" si="0"/>
        <v>PE.0G.GN.GE.ELB.008.00</v>
      </c>
      <c r="L12" s="79" t="s">
        <v>181</v>
      </c>
      <c r="M12" s="76" t="s">
        <v>165</v>
      </c>
      <c r="N12" s="80"/>
      <c r="O12" s="81"/>
      <c r="P12" s="82"/>
      <c r="Q12" s="82"/>
      <c r="R12" s="82"/>
      <c r="S12" s="84"/>
    </row>
    <row r="13" spans="1:19" ht="30" customHeight="1">
      <c r="A13" s="75"/>
      <c r="B13" s="76" t="s">
        <v>160</v>
      </c>
      <c r="C13" s="77" t="s">
        <v>161</v>
      </c>
      <c r="D13" s="77" t="s">
        <v>35</v>
      </c>
      <c r="E13" s="77" t="s">
        <v>18</v>
      </c>
      <c r="F13" s="77" t="s">
        <v>20</v>
      </c>
      <c r="G13" s="77" t="s">
        <v>22</v>
      </c>
      <c r="H13" s="77" t="s">
        <v>33</v>
      </c>
      <c r="I13" s="77" t="s">
        <v>182</v>
      </c>
      <c r="J13" s="77" t="s">
        <v>163</v>
      </c>
      <c r="K13" s="78" t="str">
        <f t="shared" si="0"/>
        <v>PE.0G.GN.GE.REL.009.00</v>
      </c>
      <c r="L13" s="79" t="s">
        <v>183</v>
      </c>
      <c r="M13" s="76" t="s">
        <v>165</v>
      </c>
      <c r="N13" s="80"/>
      <c r="O13" s="81"/>
      <c r="P13" s="82"/>
      <c r="Q13" s="82"/>
      <c r="R13" s="82"/>
      <c r="S13" s="84"/>
    </row>
    <row r="14" spans="1:19" ht="30" customHeight="1">
      <c r="A14" s="75"/>
      <c r="B14" s="76" t="s">
        <v>160</v>
      </c>
      <c r="C14" s="77" t="s">
        <v>161</v>
      </c>
      <c r="D14" s="77" t="s">
        <v>35</v>
      </c>
      <c r="E14" s="77" t="s">
        <v>18</v>
      </c>
      <c r="F14" s="77" t="s">
        <v>20</v>
      </c>
      <c r="G14" s="77" t="s">
        <v>22</v>
      </c>
      <c r="H14" s="77" t="s">
        <v>85</v>
      </c>
      <c r="I14" s="77" t="s">
        <v>184</v>
      </c>
      <c r="J14" s="77" t="s">
        <v>163</v>
      </c>
      <c r="K14" s="78" t="str">
        <f t="shared" si="0"/>
        <v>PE.0G.GN.GE.CRO.010.00</v>
      </c>
      <c r="L14" s="79" t="s">
        <v>185</v>
      </c>
      <c r="M14" s="76" t="s">
        <v>165</v>
      </c>
      <c r="N14" s="80"/>
      <c r="O14" s="81"/>
      <c r="P14" s="82"/>
      <c r="Q14" s="82"/>
      <c r="R14" s="82"/>
      <c r="S14" s="84"/>
    </row>
    <row r="15" spans="1:19" ht="30" customHeight="1">
      <c r="A15" s="75"/>
      <c r="B15" s="76" t="s">
        <v>160</v>
      </c>
      <c r="C15" s="77" t="s">
        <v>161</v>
      </c>
      <c r="D15" s="77" t="s">
        <v>35</v>
      </c>
      <c r="E15" s="77" t="s">
        <v>18</v>
      </c>
      <c r="F15" s="77" t="s">
        <v>20</v>
      </c>
      <c r="G15" s="77" t="s">
        <v>22</v>
      </c>
      <c r="H15" s="77" t="s">
        <v>98</v>
      </c>
      <c r="I15" s="77" t="s">
        <v>186</v>
      </c>
      <c r="J15" s="77" t="s">
        <v>163</v>
      </c>
      <c r="K15" s="78" t="str">
        <f t="shared" si="0"/>
        <v>PE.0G.GN.GE.QTE.011.00</v>
      </c>
      <c r="L15" s="79" t="s">
        <v>99</v>
      </c>
      <c r="M15" s="76" t="s">
        <v>165</v>
      </c>
      <c r="N15" s="80"/>
      <c r="O15" s="81"/>
      <c r="P15" s="82"/>
      <c r="Q15" s="83"/>
      <c r="R15" s="83"/>
      <c r="S15" s="84"/>
    </row>
    <row r="16" spans="1:19" ht="30" customHeight="1">
      <c r="A16" s="75"/>
      <c r="B16" s="76" t="s">
        <v>160</v>
      </c>
      <c r="C16" s="77" t="s">
        <v>161</v>
      </c>
      <c r="D16" s="77" t="s">
        <v>35</v>
      </c>
      <c r="E16" s="77" t="s">
        <v>18</v>
      </c>
      <c r="F16" s="77" t="s">
        <v>20</v>
      </c>
      <c r="G16" s="77" t="s">
        <v>22</v>
      </c>
      <c r="H16" s="77" t="s">
        <v>68</v>
      </c>
      <c r="I16" s="77" t="s">
        <v>187</v>
      </c>
      <c r="J16" s="77" t="s">
        <v>163</v>
      </c>
      <c r="K16" s="78" t="str">
        <f t="shared" si="0"/>
        <v>PE.0G.GN.GE.CME.012.00</v>
      </c>
      <c r="L16" s="79" t="s">
        <v>188</v>
      </c>
      <c r="M16" s="76" t="s">
        <v>165</v>
      </c>
      <c r="N16" s="80"/>
      <c r="O16" s="81"/>
      <c r="P16" s="82"/>
      <c r="Q16" s="82"/>
      <c r="R16" s="82"/>
      <c r="S16" s="84"/>
    </row>
    <row r="17" spans="1:19" ht="30" customHeight="1">
      <c r="A17" s="75"/>
      <c r="B17" s="76" t="s">
        <v>160</v>
      </c>
      <c r="C17" s="77" t="s">
        <v>161</v>
      </c>
      <c r="D17" s="77" t="s">
        <v>35</v>
      </c>
      <c r="E17" s="77" t="s">
        <v>18</v>
      </c>
      <c r="F17" s="77" t="s">
        <v>20</v>
      </c>
      <c r="G17" s="77" t="s">
        <v>22</v>
      </c>
      <c r="H17" s="77" t="s">
        <v>68</v>
      </c>
      <c r="I17" s="77" t="s">
        <v>189</v>
      </c>
      <c r="J17" s="77" t="s">
        <v>163</v>
      </c>
      <c r="K17" s="78" t="str">
        <f t="shared" si="0"/>
        <v>PE.0G.GN.GE.CME.013.00</v>
      </c>
      <c r="L17" s="79" t="s">
        <v>190</v>
      </c>
      <c r="M17" s="76" t="s">
        <v>165</v>
      </c>
      <c r="N17" s="80"/>
      <c r="O17" s="81"/>
      <c r="P17" s="82"/>
      <c r="Q17" s="82"/>
      <c r="R17" s="82"/>
      <c r="S17" s="84"/>
    </row>
    <row r="18" spans="1:19" ht="30" customHeight="1">
      <c r="A18" s="75"/>
      <c r="B18" s="76" t="s">
        <v>160</v>
      </c>
      <c r="C18" s="77" t="s">
        <v>161</v>
      </c>
      <c r="D18" s="77" t="s">
        <v>35</v>
      </c>
      <c r="E18" s="77" t="s">
        <v>18</v>
      </c>
      <c r="F18" s="77" t="s">
        <v>20</v>
      </c>
      <c r="G18" s="77" t="s">
        <v>22</v>
      </c>
      <c r="H18" s="77" t="s">
        <v>75</v>
      </c>
      <c r="I18" s="77" t="s">
        <v>191</v>
      </c>
      <c r="J18" s="77" t="s">
        <v>163</v>
      </c>
      <c r="K18" s="78" t="str">
        <f t="shared" si="0"/>
        <v>PE.0G.GN.GE.EPU.014.00</v>
      </c>
      <c r="L18" s="79" t="s">
        <v>192</v>
      </c>
      <c r="M18" s="76" t="s">
        <v>165</v>
      </c>
      <c r="N18" s="80"/>
      <c r="O18" s="81"/>
      <c r="P18" s="82"/>
      <c r="Q18" s="82"/>
      <c r="R18" s="82"/>
      <c r="S18" s="84"/>
    </row>
    <row r="19" spans="1:19" ht="30" customHeight="1">
      <c r="A19" s="85"/>
      <c r="B19" s="76" t="s">
        <v>160</v>
      </c>
      <c r="C19" s="77" t="s">
        <v>161</v>
      </c>
      <c r="D19" s="77" t="s">
        <v>35</v>
      </c>
      <c r="E19" s="77" t="s">
        <v>18</v>
      </c>
      <c r="F19" s="77" t="s">
        <v>20</v>
      </c>
      <c r="G19" s="77" t="s">
        <v>22</v>
      </c>
      <c r="H19" s="77" t="s">
        <v>75</v>
      </c>
      <c r="I19" s="77" t="s">
        <v>193</v>
      </c>
      <c r="J19" s="77" t="s">
        <v>163</v>
      </c>
      <c r="K19" s="78" t="str">
        <f t="shared" si="0"/>
        <v>PE.0G.GN.GE.EPU.015.00</v>
      </c>
      <c r="L19" s="79" t="s">
        <v>194</v>
      </c>
      <c r="M19" s="76" t="s">
        <v>165</v>
      </c>
      <c r="N19" s="86"/>
      <c r="O19" s="87"/>
      <c r="P19" s="88"/>
      <c r="Q19" s="88"/>
      <c r="R19" s="88"/>
      <c r="S19" s="89"/>
    </row>
    <row r="20" spans="1:19" ht="30" customHeight="1">
      <c r="A20" s="90"/>
      <c r="B20" s="76" t="s">
        <v>160</v>
      </c>
      <c r="C20" s="77" t="s">
        <v>161</v>
      </c>
      <c r="D20" s="77" t="s">
        <v>35</v>
      </c>
      <c r="E20" s="77" t="s">
        <v>18</v>
      </c>
      <c r="F20" s="77" t="s">
        <v>20</v>
      </c>
      <c r="G20" s="77" t="s">
        <v>22</v>
      </c>
      <c r="H20" s="77" t="s">
        <v>68</v>
      </c>
      <c r="I20" s="77" t="s">
        <v>195</v>
      </c>
      <c r="J20" s="77" t="s">
        <v>163</v>
      </c>
      <c r="K20" s="78" t="str">
        <f t="shared" si="0"/>
        <v>PE.0G.GN.GE.CME.016.00</v>
      </c>
      <c r="L20" s="79" t="s">
        <v>196</v>
      </c>
      <c r="M20" s="76" t="s">
        <v>165</v>
      </c>
      <c r="N20" s="86"/>
      <c r="O20" s="91"/>
      <c r="P20" s="92"/>
      <c r="Q20" s="92"/>
      <c r="R20" s="92"/>
      <c r="S20" s="93"/>
    </row>
    <row r="21" spans="1:19" ht="30" customHeight="1">
      <c r="A21" s="161" t="s">
        <v>197</v>
      </c>
      <c r="B21" s="154"/>
      <c r="C21" s="154"/>
      <c r="D21" s="154"/>
      <c r="E21" s="154"/>
      <c r="F21" s="154"/>
      <c r="G21" s="154"/>
      <c r="H21" s="154"/>
      <c r="I21" s="154"/>
      <c r="J21" s="154"/>
      <c r="K21" s="154"/>
      <c r="L21" s="154"/>
      <c r="M21" s="154"/>
      <c r="N21" s="151"/>
      <c r="O21" s="157"/>
      <c r="P21" s="157"/>
      <c r="Q21" s="157"/>
      <c r="R21" s="157"/>
      <c r="S21" s="160"/>
    </row>
    <row r="22" spans="1:19" ht="30" customHeight="1">
      <c r="A22" s="94"/>
      <c r="B22" s="76" t="s">
        <v>160</v>
      </c>
      <c r="C22" s="77" t="s">
        <v>161</v>
      </c>
      <c r="D22" s="77" t="s">
        <v>35</v>
      </c>
      <c r="E22" s="77" t="s">
        <v>27</v>
      </c>
      <c r="F22" s="77" t="s">
        <v>20</v>
      </c>
      <c r="G22" s="77" t="s">
        <v>22</v>
      </c>
      <c r="H22" s="77" t="s">
        <v>33</v>
      </c>
      <c r="I22" s="77" t="s">
        <v>162</v>
      </c>
      <c r="J22" s="77" t="s">
        <v>163</v>
      </c>
      <c r="K22" s="78" t="str">
        <f>CONCATENATE(D22,".",E22,".",F22,".",G22,".",H22,".",I22,".",J22)</f>
        <v>PE.1A.GN.GE.REL.000.00</v>
      </c>
      <c r="L22" s="79" t="s">
        <v>198</v>
      </c>
      <c r="M22" s="76" t="s">
        <v>165</v>
      </c>
      <c r="N22" s="80"/>
      <c r="O22" s="95"/>
      <c r="P22" s="96"/>
      <c r="Q22" s="96"/>
      <c r="R22" s="96"/>
      <c r="S22" s="97"/>
    </row>
    <row r="23" spans="1:19" ht="30" customHeight="1">
      <c r="A23" s="75"/>
      <c r="B23" s="76" t="s">
        <v>160</v>
      </c>
      <c r="C23" s="77" t="s">
        <v>161</v>
      </c>
      <c r="D23" s="77" t="s">
        <v>35</v>
      </c>
      <c r="E23" s="77" t="s">
        <v>27</v>
      </c>
      <c r="F23" s="77" t="s">
        <v>20</v>
      </c>
      <c r="G23" s="77" t="s">
        <v>22</v>
      </c>
      <c r="H23" s="77" t="s">
        <v>33</v>
      </c>
      <c r="I23" s="77" t="s">
        <v>166</v>
      </c>
      <c r="J23" s="77" t="s">
        <v>163</v>
      </c>
      <c r="K23" s="78" t="str">
        <f>CONCATENATE(D23,".",E23,".",F23,".",G23,".",H23,".",I23,".",J23)</f>
        <v>PE.1A.GN.GE.REL.001.00</v>
      </c>
      <c r="L23" s="79" t="s">
        <v>199</v>
      </c>
      <c r="M23" s="76" t="s">
        <v>165</v>
      </c>
      <c r="N23" s="80"/>
      <c r="O23" s="81"/>
      <c r="P23" s="82"/>
      <c r="Q23" s="82"/>
      <c r="R23" s="82"/>
      <c r="S23" s="84"/>
    </row>
    <row r="24" spans="1:19" ht="30" customHeight="1">
      <c r="A24" s="75"/>
      <c r="B24" s="76" t="s">
        <v>160</v>
      </c>
      <c r="C24" s="77" t="s">
        <v>161</v>
      </c>
      <c r="D24" s="77" t="s">
        <v>35</v>
      </c>
      <c r="E24" s="77" t="s">
        <v>27</v>
      </c>
      <c r="F24" s="77" t="s">
        <v>20</v>
      </c>
      <c r="G24" s="77" t="s">
        <v>22</v>
      </c>
      <c r="H24" s="77" t="s">
        <v>33</v>
      </c>
      <c r="I24" s="77" t="s">
        <v>168</v>
      </c>
      <c r="J24" s="77" t="s">
        <v>163</v>
      </c>
      <c r="K24" s="78" t="str">
        <f>CONCATENATE(D24,".",E24,".",F24,".",G24,".",H24,".",I24,".",J24)</f>
        <v>PE.1A.GN.GE.REL.002.00</v>
      </c>
      <c r="L24" s="79" t="s">
        <v>200</v>
      </c>
      <c r="M24" s="76" t="s">
        <v>165</v>
      </c>
      <c r="N24" s="80"/>
      <c r="O24" s="81"/>
      <c r="P24" s="82"/>
      <c r="Q24" s="82"/>
      <c r="R24" s="82"/>
      <c r="S24" s="84"/>
    </row>
    <row r="25" spans="1:19" ht="30" customHeight="1">
      <c r="A25" s="98"/>
      <c r="B25" s="76" t="s">
        <v>160</v>
      </c>
      <c r="C25" s="77" t="s">
        <v>161</v>
      </c>
      <c r="D25" s="77" t="s">
        <v>35</v>
      </c>
      <c r="E25" s="77" t="s">
        <v>27</v>
      </c>
      <c r="F25" s="77" t="s">
        <v>20</v>
      </c>
      <c r="G25" s="77" t="s">
        <v>22</v>
      </c>
      <c r="H25" s="77" t="s">
        <v>131</v>
      </c>
      <c r="I25" s="77" t="s">
        <v>170</v>
      </c>
      <c r="J25" s="77" t="s">
        <v>163</v>
      </c>
      <c r="K25" s="78" t="str">
        <f>CONCATENATE(D25,".",E25,".",F25,".",G25,".",H25,".",I25,".",J25)</f>
        <v>PE.1A.GN.GE.CAP.003.00</v>
      </c>
      <c r="L25" s="79" t="s">
        <v>201</v>
      </c>
      <c r="M25" s="76" t="s">
        <v>165</v>
      </c>
      <c r="N25" s="80"/>
      <c r="O25" s="99"/>
      <c r="P25" s="100"/>
      <c r="Q25" s="100"/>
      <c r="R25" s="100"/>
      <c r="S25" s="101"/>
    </row>
    <row r="26" spans="1:19" ht="30" customHeight="1">
      <c r="A26" s="153" t="s">
        <v>202</v>
      </c>
      <c r="B26" s="154"/>
      <c r="C26" s="154"/>
      <c r="D26" s="154"/>
      <c r="E26" s="154"/>
      <c r="F26" s="154"/>
      <c r="G26" s="154"/>
      <c r="H26" s="154"/>
      <c r="I26" s="154"/>
      <c r="J26" s="154"/>
      <c r="K26" s="154"/>
      <c r="L26" s="154"/>
      <c r="M26" s="154"/>
      <c r="N26" s="151"/>
      <c r="O26" s="157"/>
      <c r="P26" s="157"/>
      <c r="Q26" s="157"/>
      <c r="R26" s="157"/>
      <c r="S26" s="160"/>
    </row>
    <row r="27" spans="1:19" ht="30" customHeight="1">
      <c r="A27" s="94"/>
      <c r="B27" s="76" t="s">
        <v>160</v>
      </c>
      <c r="C27" s="77" t="s">
        <v>161</v>
      </c>
      <c r="D27" s="77" t="s">
        <v>35</v>
      </c>
      <c r="E27" s="77" t="s">
        <v>37</v>
      </c>
      <c r="F27" s="77" t="s">
        <v>20</v>
      </c>
      <c r="G27" s="77" t="s">
        <v>22</v>
      </c>
      <c r="H27" s="77" t="s">
        <v>23</v>
      </c>
      <c r="I27" s="77" t="s">
        <v>203</v>
      </c>
      <c r="J27" s="77" t="s">
        <v>163</v>
      </c>
      <c r="K27" s="78" t="str">
        <f>CONCATENATE(D27,".",E27,".",F27,".",G27,".",H27,".",I27,".",J27)</f>
        <v>PE.2S.GN.GE.ELB.200.00</v>
      </c>
      <c r="L27" s="79" t="s">
        <v>204</v>
      </c>
      <c r="M27" s="76" t="s">
        <v>165</v>
      </c>
      <c r="N27" s="80"/>
      <c r="O27" s="95"/>
      <c r="P27" s="96"/>
      <c r="Q27" s="96"/>
      <c r="R27" s="96"/>
      <c r="S27" s="102"/>
    </row>
    <row r="28" spans="1:19" ht="30" customHeight="1">
      <c r="A28" s="75"/>
      <c r="B28" s="76" t="s">
        <v>160</v>
      </c>
      <c r="C28" s="77" t="s">
        <v>161</v>
      </c>
      <c r="D28" s="77" t="s">
        <v>35</v>
      </c>
      <c r="E28" s="77" t="s">
        <v>37</v>
      </c>
      <c r="F28" s="77" t="s">
        <v>20</v>
      </c>
      <c r="G28" s="77" t="s">
        <v>22</v>
      </c>
      <c r="H28" s="77" t="s">
        <v>23</v>
      </c>
      <c r="I28" s="77" t="s">
        <v>205</v>
      </c>
      <c r="J28" s="77" t="s">
        <v>206</v>
      </c>
      <c r="K28" s="78" t="str">
        <f>CONCATENATE(D28,".",E28,".",F28,".",G28,".",H28,".",I28,".",J28)</f>
        <v>PE.2S.GN.GE.ELB.201.01</v>
      </c>
      <c r="L28" s="79" t="s">
        <v>207</v>
      </c>
      <c r="M28" s="76" t="s">
        <v>165</v>
      </c>
      <c r="N28" s="80"/>
      <c r="O28" s="81"/>
      <c r="P28" s="82"/>
      <c r="Q28" s="82"/>
      <c r="R28" s="82"/>
      <c r="S28" s="84"/>
    </row>
    <row r="29" spans="1:19" ht="30" customHeight="1">
      <c r="A29" s="75"/>
      <c r="B29" s="76" t="s">
        <v>160</v>
      </c>
      <c r="C29" s="77" t="s">
        <v>161</v>
      </c>
      <c r="D29" s="77" t="s">
        <v>35</v>
      </c>
      <c r="E29" s="77" t="s">
        <v>37</v>
      </c>
      <c r="F29" s="77" t="s">
        <v>20</v>
      </c>
      <c r="G29" s="77" t="s">
        <v>22</v>
      </c>
      <c r="H29" s="77" t="s">
        <v>23</v>
      </c>
      <c r="I29" s="77" t="s">
        <v>208</v>
      </c>
      <c r="J29" s="77" t="s">
        <v>209</v>
      </c>
      <c r="K29" s="78" t="str">
        <f>CONCATENATE(D29,".",E29,".",F29,".",G29,".",H29,".",I29,".",J29)</f>
        <v>PE.2S.GN.GE.ELB.202.02</v>
      </c>
      <c r="L29" s="79" t="s">
        <v>210</v>
      </c>
      <c r="M29" s="76" t="s">
        <v>165</v>
      </c>
      <c r="N29" s="80"/>
      <c r="O29" s="81"/>
      <c r="P29" s="82"/>
      <c r="Q29" s="82"/>
      <c r="R29" s="82"/>
      <c r="S29" s="84"/>
    </row>
    <row r="30" spans="1:19" ht="30" customHeight="1">
      <c r="A30" s="75"/>
      <c r="B30" s="76" t="s">
        <v>160</v>
      </c>
      <c r="C30" s="77" t="s">
        <v>161</v>
      </c>
      <c r="D30" s="77" t="s">
        <v>35</v>
      </c>
      <c r="E30" s="77" t="s">
        <v>37</v>
      </c>
      <c r="F30" s="77" t="s">
        <v>20</v>
      </c>
      <c r="G30" s="77" t="s">
        <v>22</v>
      </c>
      <c r="H30" s="77" t="s">
        <v>23</v>
      </c>
      <c r="I30" s="77" t="s">
        <v>211</v>
      </c>
      <c r="J30" s="77" t="s">
        <v>212</v>
      </c>
      <c r="K30" s="78" t="str">
        <f>CONCATENATE(D30,".",E30,".",F30,".",G30,".",H30,".",I30,".",J30)</f>
        <v>PE.2S.GN.GE.ELB.203.03</v>
      </c>
      <c r="L30" s="79" t="s">
        <v>213</v>
      </c>
      <c r="M30" s="76" t="s">
        <v>165</v>
      </c>
      <c r="N30" s="80"/>
      <c r="O30" s="81"/>
      <c r="P30" s="82"/>
      <c r="Q30" s="82"/>
      <c r="R30" s="82"/>
      <c r="S30" s="84"/>
    </row>
    <row r="31" spans="1:19" ht="30" customHeight="1">
      <c r="A31" s="98"/>
      <c r="B31" s="76" t="s">
        <v>160</v>
      </c>
      <c r="C31" s="77" t="s">
        <v>161</v>
      </c>
      <c r="D31" s="77" t="s">
        <v>35</v>
      </c>
      <c r="E31" s="77" t="s">
        <v>37</v>
      </c>
      <c r="F31" s="77" t="s">
        <v>20</v>
      </c>
      <c r="G31" s="77" t="s">
        <v>22</v>
      </c>
      <c r="H31" s="77" t="s">
        <v>23</v>
      </c>
      <c r="I31" s="77" t="s">
        <v>214</v>
      </c>
      <c r="J31" s="77" t="s">
        <v>215</v>
      </c>
      <c r="K31" s="78" t="str">
        <f>CONCATENATE(D31,".",E31,".",F31,".",G31,".",H31,".",I31,".",J31)</f>
        <v>PE.2S.GN.GE.ELB.204.04</v>
      </c>
      <c r="L31" s="79" t="s">
        <v>216</v>
      </c>
      <c r="M31" s="76" t="s">
        <v>165</v>
      </c>
      <c r="N31" s="80"/>
      <c r="O31" s="99"/>
      <c r="P31" s="100"/>
      <c r="Q31" s="100"/>
      <c r="R31" s="100"/>
      <c r="S31" s="101"/>
    </row>
    <row r="32" spans="1:19" ht="30" customHeight="1">
      <c r="A32" s="161" t="s">
        <v>217</v>
      </c>
      <c r="B32" s="154"/>
      <c r="C32" s="154"/>
      <c r="D32" s="154"/>
      <c r="E32" s="154"/>
      <c r="F32" s="154"/>
      <c r="G32" s="154"/>
      <c r="H32" s="154"/>
      <c r="I32" s="154"/>
      <c r="J32" s="154"/>
      <c r="K32" s="154"/>
      <c r="L32" s="154"/>
      <c r="M32" s="154"/>
      <c r="N32" s="151"/>
      <c r="O32" s="157"/>
      <c r="P32" s="157"/>
      <c r="Q32" s="157"/>
      <c r="R32" s="157"/>
      <c r="S32" s="160"/>
    </row>
    <row r="33" spans="1:19" ht="30" customHeight="1">
      <c r="A33" s="94"/>
      <c r="B33" s="76" t="s">
        <v>160</v>
      </c>
      <c r="C33" s="77" t="s">
        <v>161</v>
      </c>
      <c r="D33" s="77" t="s">
        <v>35</v>
      </c>
      <c r="E33" s="77" t="s">
        <v>47</v>
      </c>
      <c r="F33" s="77" t="s">
        <v>20</v>
      </c>
      <c r="G33" s="77" t="s">
        <v>22</v>
      </c>
      <c r="H33" s="77" t="s">
        <v>33</v>
      </c>
      <c r="I33" s="77" t="s">
        <v>162</v>
      </c>
      <c r="J33" s="77" t="s">
        <v>163</v>
      </c>
      <c r="K33" s="78" t="str">
        <f>CONCATENATE(D33,".",E33,".",F33,".",G33,".",H33,".",I33,".",J33)</f>
        <v>PE.3I.GN.GE.REL.000.00</v>
      </c>
      <c r="L33" s="79" t="s">
        <v>218</v>
      </c>
      <c r="M33" s="76" t="s">
        <v>165</v>
      </c>
      <c r="N33" s="80"/>
      <c r="O33" s="103"/>
      <c r="P33" s="104"/>
      <c r="Q33" s="96"/>
      <c r="R33" s="96"/>
      <c r="S33" s="102"/>
    </row>
    <row r="34" spans="1:19" ht="30" customHeight="1">
      <c r="A34" s="75"/>
      <c r="B34" s="76" t="s">
        <v>160</v>
      </c>
      <c r="C34" s="77" t="s">
        <v>161</v>
      </c>
      <c r="D34" s="77" t="s">
        <v>35</v>
      </c>
      <c r="E34" s="77" t="s">
        <v>47</v>
      </c>
      <c r="F34" s="77" t="s">
        <v>20</v>
      </c>
      <c r="G34" s="77" t="s">
        <v>22</v>
      </c>
      <c r="H34" s="77" t="s">
        <v>43</v>
      </c>
      <c r="I34" s="77" t="s">
        <v>166</v>
      </c>
      <c r="J34" s="77" t="s">
        <v>163</v>
      </c>
      <c r="K34" s="78" t="str">
        <f>CONCATENATE(D34,".",E34,".",F34,".",G34,".",H34,".",I34,".",J34)</f>
        <v>PE.3I.GN.GE.CAL.001.00</v>
      </c>
      <c r="L34" s="79" t="s">
        <v>219</v>
      </c>
      <c r="M34" s="76"/>
      <c r="N34" s="80"/>
      <c r="O34" s="81"/>
      <c r="P34" s="82"/>
      <c r="Q34" s="82"/>
      <c r="R34" s="82"/>
      <c r="S34" s="84"/>
    </row>
    <row r="35" spans="1:19" ht="30" customHeight="1">
      <c r="A35" s="75"/>
      <c r="B35" s="76" t="s">
        <v>160</v>
      </c>
      <c r="C35" s="77" t="s">
        <v>161</v>
      </c>
      <c r="D35" s="77" t="s">
        <v>35</v>
      </c>
      <c r="E35" s="77" t="s">
        <v>47</v>
      </c>
      <c r="F35" s="77" t="s">
        <v>20</v>
      </c>
      <c r="G35" s="77" t="s">
        <v>22</v>
      </c>
      <c r="H35" s="77" t="s">
        <v>33</v>
      </c>
      <c r="I35" s="77" t="s">
        <v>168</v>
      </c>
      <c r="J35" s="77" t="s">
        <v>163</v>
      </c>
      <c r="K35" s="78" t="str">
        <f>CONCATENATE(D35,".",E35,".",F35,".",G35,".",H35,".",I35,".",J35)</f>
        <v>PE.3I.GN.GE.REL.002.00</v>
      </c>
      <c r="L35" s="79" t="s">
        <v>220</v>
      </c>
      <c r="M35" s="76" t="s">
        <v>165</v>
      </c>
      <c r="N35" s="80"/>
      <c r="O35" s="81"/>
      <c r="P35" s="82"/>
      <c r="Q35" s="82"/>
      <c r="R35" s="82"/>
      <c r="S35" s="84"/>
    </row>
    <row r="36" spans="1:19" ht="30" customHeight="1">
      <c r="A36" s="98"/>
      <c r="B36" s="76" t="s">
        <v>160</v>
      </c>
      <c r="C36" s="77" t="s">
        <v>161</v>
      </c>
      <c r="D36" s="77" t="s">
        <v>35</v>
      </c>
      <c r="E36" s="77" t="s">
        <v>47</v>
      </c>
      <c r="F36" s="77" t="s">
        <v>20</v>
      </c>
      <c r="G36" s="77" t="s">
        <v>22</v>
      </c>
      <c r="H36" s="77" t="s">
        <v>131</v>
      </c>
      <c r="I36" s="77" t="s">
        <v>170</v>
      </c>
      <c r="J36" s="77" t="s">
        <v>163</v>
      </c>
      <c r="K36" s="78" t="str">
        <f>CONCATENATE(D36,".",E36,".",F36,".",G36,".",H36,".",I36,".",J36)</f>
        <v>PE.3I.GN.GE.CAP.003.00</v>
      </c>
      <c r="L36" s="79" t="s">
        <v>221</v>
      </c>
      <c r="M36" s="76" t="s">
        <v>165</v>
      </c>
      <c r="N36" s="80"/>
      <c r="O36" s="99"/>
      <c r="P36" s="100"/>
      <c r="Q36" s="100"/>
      <c r="R36" s="100"/>
      <c r="S36" s="101"/>
    </row>
    <row r="37" spans="1:19" ht="30" customHeight="1">
      <c r="A37" s="161" t="s">
        <v>222</v>
      </c>
      <c r="B37" s="154"/>
      <c r="C37" s="154"/>
      <c r="D37" s="154"/>
      <c r="E37" s="154"/>
      <c r="F37" s="154"/>
      <c r="G37" s="154"/>
      <c r="H37" s="154"/>
      <c r="I37" s="154"/>
      <c r="J37" s="154"/>
      <c r="K37" s="154"/>
      <c r="L37" s="154"/>
      <c r="M37" s="154"/>
      <c r="N37" s="151"/>
      <c r="O37" s="157"/>
      <c r="P37" s="157"/>
      <c r="Q37" s="157"/>
      <c r="R37" s="157"/>
      <c r="S37" s="160"/>
    </row>
    <row r="38" spans="1:19" ht="30" customHeight="1">
      <c r="A38" s="94"/>
      <c r="B38" s="76" t="s">
        <v>160</v>
      </c>
      <c r="C38" s="77" t="s">
        <v>161</v>
      </c>
      <c r="D38" s="77" t="s">
        <v>35</v>
      </c>
      <c r="E38" s="77" t="s">
        <v>47</v>
      </c>
      <c r="F38" s="77" t="s">
        <v>20</v>
      </c>
      <c r="G38" s="77" t="s">
        <v>22</v>
      </c>
      <c r="H38" s="77" t="s">
        <v>33</v>
      </c>
      <c r="I38" s="77" t="s">
        <v>172</v>
      </c>
      <c r="J38" s="77" t="s">
        <v>163</v>
      </c>
      <c r="K38" s="78" t="str">
        <f>CONCATENATE(D38,".",E38,".",F38,".",G38,".",H38,".",I38,".",J38)</f>
        <v>PE.3I.GN.GE.REL.004.00</v>
      </c>
      <c r="L38" s="79" t="s">
        <v>223</v>
      </c>
      <c r="M38" s="76" t="s">
        <v>165</v>
      </c>
      <c r="N38" s="80"/>
      <c r="O38" s="95"/>
      <c r="P38" s="96"/>
      <c r="Q38" s="96"/>
      <c r="R38" s="96"/>
      <c r="S38" s="102"/>
    </row>
    <row r="39" spans="1:19" ht="30" customHeight="1">
      <c r="A39" s="75"/>
      <c r="B39" s="76" t="s">
        <v>160</v>
      </c>
      <c r="C39" s="77" t="s">
        <v>161</v>
      </c>
      <c r="D39" s="77" t="s">
        <v>35</v>
      </c>
      <c r="E39" s="77" t="s">
        <v>47</v>
      </c>
      <c r="F39" s="77" t="s">
        <v>20</v>
      </c>
      <c r="G39" s="77" t="s">
        <v>22</v>
      </c>
      <c r="H39" s="77" t="s">
        <v>33</v>
      </c>
      <c r="I39" s="77" t="s">
        <v>174</v>
      </c>
      <c r="J39" s="77" t="s">
        <v>163</v>
      </c>
      <c r="K39" s="78" t="str">
        <f>CONCATENATE(D39,".",E39,".",F39,".",G39,".",H39,".",I39,".",J39)</f>
        <v>PE.3I.GN.GE.REL.005.00</v>
      </c>
      <c r="L39" s="79" t="s">
        <v>224</v>
      </c>
      <c r="M39" s="76" t="s">
        <v>165</v>
      </c>
      <c r="N39" s="80"/>
      <c r="O39" s="81"/>
      <c r="P39" s="82"/>
      <c r="Q39" s="82"/>
      <c r="R39" s="82"/>
      <c r="S39" s="84"/>
    </row>
    <row r="40" spans="1:19" ht="30" customHeight="1">
      <c r="A40" s="75"/>
      <c r="B40" s="76" t="s">
        <v>160</v>
      </c>
      <c r="C40" s="77" t="s">
        <v>161</v>
      </c>
      <c r="D40" s="77" t="s">
        <v>35</v>
      </c>
      <c r="E40" s="77" t="s">
        <v>47</v>
      </c>
      <c r="F40" s="77" t="s">
        <v>20</v>
      </c>
      <c r="G40" s="77" t="s">
        <v>22</v>
      </c>
      <c r="H40" s="77" t="s">
        <v>43</v>
      </c>
      <c r="I40" s="77" t="s">
        <v>174</v>
      </c>
      <c r="J40" s="77" t="s">
        <v>163</v>
      </c>
      <c r="K40" s="78" t="str">
        <f>CONCATENATE(D40,".",E40,".",F40,".",G40,".",H40,".",I40,".",J40)</f>
        <v>PE.3I.GN.GE.CAL.005.00</v>
      </c>
      <c r="L40" s="79" t="s">
        <v>225</v>
      </c>
      <c r="M40" s="76" t="s">
        <v>165</v>
      </c>
      <c r="N40" s="80"/>
      <c r="O40" s="81"/>
      <c r="P40" s="82"/>
      <c r="Q40" s="82"/>
      <c r="R40" s="82"/>
      <c r="S40" s="84"/>
    </row>
    <row r="41" spans="1:19" ht="30" customHeight="1">
      <c r="A41" s="98"/>
      <c r="B41" s="76" t="s">
        <v>160</v>
      </c>
      <c r="C41" s="77" t="s">
        <v>161</v>
      </c>
      <c r="D41" s="77" t="s">
        <v>35</v>
      </c>
      <c r="E41" s="77" t="s">
        <v>47</v>
      </c>
      <c r="F41" s="77" t="s">
        <v>20</v>
      </c>
      <c r="G41" s="77" t="s">
        <v>22</v>
      </c>
      <c r="H41" s="77" t="s">
        <v>131</v>
      </c>
      <c r="I41" s="77" t="s">
        <v>176</v>
      </c>
      <c r="J41" s="77" t="s">
        <v>163</v>
      </c>
      <c r="K41" s="78" t="str">
        <f>CONCATENATE(D41,".",E41,".",F41,".",G41,".",H41,".",I41,".",J41)</f>
        <v>PE.3I.GN.GE.CAP.006.00</v>
      </c>
      <c r="L41" s="79" t="s">
        <v>226</v>
      </c>
      <c r="M41" s="76" t="s">
        <v>165</v>
      </c>
      <c r="N41" s="80"/>
      <c r="O41" s="99"/>
      <c r="P41" s="100"/>
      <c r="Q41" s="100"/>
      <c r="R41" s="100"/>
      <c r="S41" s="101"/>
    </row>
    <row r="42" spans="1:19" ht="20.100000000000001" hidden="1" customHeight="1">
      <c r="A42" s="162" t="s">
        <v>227</v>
      </c>
      <c r="B42" s="163"/>
      <c r="C42" s="164"/>
      <c r="D42" s="105"/>
      <c r="E42" s="105"/>
      <c r="F42" s="105"/>
      <c r="G42" s="105"/>
      <c r="H42" s="105"/>
      <c r="I42" s="105"/>
      <c r="J42" s="105"/>
      <c r="K42" s="105"/>
      <c r="L42" s="105"/>
      <c r="M42" s="105"/>
      <c r="N42" s="106"/>
      <c r="O42" s="107"/>
      <c r="P42" s="107"/>
      <c r="Q42" s="108"/>
      <c r="R42" s="107"/>
      <c r="S42" s="107"/>
    </row>
    <row r="43" spans="1:19" ht="12" hidden="1" customHeight="1">
      <c r="A43" s="165" t="s">
        <v>228</v>
      </c>
      <c r="B43" s="166"/>
      <c r="C43" s="154"/>
      <c r="D43" s="166"/>
      <c r="E43" s="166"/>
      <c r="F43" s="166"/>
      <c r="G43" s="166"/>
      <c r="H43" s="166"/>
      <c r="I43" s="166"/>
      <c r="J43" s="166"/>
      <c r="K43" s="166"/>
      <c r="L43" s="166"/>
      <c r="M43" s="166"/>
      <c r="N43" s="151"/>
      <c r="O43" s="167"/>
      <c r="P43" s="167"/>
      <c r="Q43" s="157"/>
      <c r="R43" s="157"/>
      <c r="S43" s="168"/>
    </row>
    <row r="44" spans="1:19" ht="20.100000000000001" hidden="1" customHeight="1">
      <c r="A44" s="109">
        <f t="shared" ref="A44:A104" si="1">ROW()-3</f>
        <v>41</v>
      </c>
      <c r="B44" s="110" t="s">
        <v>229</v>
      </c>
      <c r="C44" s="111" t="str">
        <f>WBS!$A$2</f>
        <v xml:space="preserve"> </v>
      </c>
      <c r="D44" s="112" t="s">
        <v>35</v>
      </c>
      <c r="E44" s="112" t="s">
        <v>63</v>
      </c>
      <c r="F44" s="112" t="s">
        <v>29</v>
      </c>
      <c r="G44" s="113" t="s">
        <v>127</v>
      </c>
      <c r="H44" s="112" t="s">
        <v>104</v>
      </c>
      <c r="I44" s="112" t="s">
        <v>166</v>
      </c>
      <c r="J44" s="112" t="s">
        <v>163</v>
      </c>
      <c r="K44" s="114" t="str">
        <f t="shared" ref="K44:K70" si="2">CONCATENATE(D44,".",E44,".",F44,".",G44,".",H44,".",I44,".",J44)</f>
        <v>PE.7R.A.PI.PNT.001.00</v>
      </c>
      <c r="L44" s="115" t="s">
        <v>230</v>
      </c>
      <c r="M44" s="111" t="s">
        <v>231</v>
      </c>
      <c r="N44" s="116"/>
      <c r="O44" s="117"/>
      <c r="P44" s="117"/>
      <c r="Q44" s="118"/>
      <c r="R44" s="118"/>
      <c r="S44" s="118"/>
    </row>
    <row r="45" spans="1:19" ht="20.100000000000001" hidden="1" customHeight="1">
      <c r="A45" s="109">
        <f t="shared" si="1"/>
        <v>42</v>
      </c>
      <c r="B45" s="110" t="s">
        <v>229</v>
      </c>
      <c r="C45" s="111" t="str">
        <f>WBS!$A$2</f>
        <v xml:space="preserve"> </v>
      </c>
      <c r="D45" s="112" t="s">
        <v>35</v>
      </c>
      <c r="E45" s="112" t="s">
        <v>63</v>
      </c>
      <c r="F45" s="112" t="s">
        <v>29</v>
      </c>
      <c r="G45" s="113" t="s">
        <v>31</v>
      </c>
      <c r="H45" s="112" t="s">
        <v>104</v>
      </c>
      <c r="I45" s="112" t="s">
        <v>168</v>
      </c>
      <c r="J45" s="112" t="s">
        <v>163</v>
      </c>
      <c r="K45" s="114" t="str">
        <f t="shared" si="2"/>
        <v>PE.7R.A.P0.PNT.002.00</v>
      </c>
      <c r="L45" s="115" t="s">
        <v>232</v>
      </c>
      <c r="M45" s="111" t="s">
        <v>231</v>
      </c>
      <c r="N45" s="116"/>
      <c r="O45" s="117"/>
      <c r="P45" s="117"/>
      <c r="Q45" s="118"/>
      <c r="R45" s="118"/>
      <c r="S45" s="118"/>
    </row>
    <row r="46" spans="1:19" ht="20.100000000000001" hidden="1" customHeight="1">
      <c r="A46" s="109">
        <f t="shared" si="1"/>
        <v>43</v>
      </c>
      <c r="B46" s="110" t="s">
        <v>229</v>
      </c>
      <c r="C46" s="111" t="str">
        <f>WBS!$A$2</f>
        <v xml:space="preserve"> </v>
      </c>
      <c r="D46" s="112" t="s">
        <v>35</v>
      </c>
      <c r="E46" s="112" t="s">
        <v>63</v>
      </c>
      <c r="F46" s="112" t="s">
        <v>29</v>
      </c>
      <c r="G46" s="113" t="s">
        <v>134</v>
      </c>
      <c r="H46" s="112" t="s">
        <v>104</v>
      </c>
      <c r="I46" s="112" t="s">
        <v>170</v>
      </c>
      <c r="J46" s="112" t="s">
        <v>163</v>
      </c>
      <c r="K46" s="114" t="str">
        <f t="shared" si="2"/>
        <v>PE.7R.A.PR.PNT.003.00</v>
      </c>
      <c r="L46" s="115" t="s">
        <v>135</v>
      </c>
      <c r="M46" s="111" t="s">
        <v>231</v>
      </c>
      <c r="N46" s="116"/>
      <c r="O46" s="117"/>
      <c r="P46" s="117"/>
      <c r="Q46" s="118"/>
      <c r="R46" s="118"/>
      <c r="S46" s="118"/>
    </row>
    <row r="47" spans="1:19" ht="20.100000000000001" hidden="1" customHeight="1">
      <c r="A47" s="109">
        <f t="shared" si="1"/>
        <v>44</v>
      </c>
      <c r="B47" s="110" t="s">
        <v>229</v>
      </c>
      <c r="C47" s="111" t="str">
        <f>WBS!$A$2</f>
        <v xml:space="preserve"> </v>
      </c>
      <c r="D47" s="112" t="s">
        <v>35</v>
      </c>
      <c r="E47" s="112" t="s">
        <v>63</v>
      </c>
      <c r="F47" s="112" t="s">
        <v>29</v>
      </c>
      <c r="G47" s="113" t="s">
        <v>41</v>
      </c>
      <c r="H47" s="112" t="s">
        <v>104</v>
      </c>
      <c r="I47" s="112" t="s">
        <v>172</v>
      </c>
      <c r="J47" s="112" t="s">
        <v>163</v>
      </c>
      <c r="K47" s="114" t="str">
        <f t="shared" si="2"/>
        <v>PE.7R.A.P1.PNT.004.00</v>
      </c>
      <c r="L47" s="115" t="s">
        <v>233</v>
      </c>
      <c r="M47" s="111" t="s">
        <v>231</v>
      </c>
      <c r="N47" s="116"/>
      <c r="O47" s="117"/>
      <c r="P47" s="117"/>
      <c r="Q47" s="118"/>
      <c r="R47" s="118"/>
      <c r="S47" s="118"/>
    </row>
    <row r="48" spans="1:19" ht="20.100000000000001" hidden="1" customHeight="1">
      <c r="A48" s="109">
        <f t="shared" si="1"/>
        <v>45</v>
      </c>
      <c r="B48" s="110" t="s">
        <v>229</v>
      </c>
      <c r="C48" s="111" t="str">
        <f>WBS!$A$2</f>
        <v xml:space="preserve"> </v>
      </c>
      <c r="D48" s="112" t="s">
        <v>35</v>
      </c>
      <c r="E48" s="112" t="s">
        <v>63</v>
      </c>
      <c r="F48" s="112" t="s">
        <v>29</v>
      </c>
      <c r="G48" s="113" t="s">
        <v>51</v>
      </c>
      <c r="H48" s="112" t="s">
        <v>104</v>
      </c>
      <c r="I48" s="112" t="s">
        <v>174</v>
      </c>
      <c r="J48" s="112" t="s">
        <v>163</v>
      </c>
      <c r="K48" s="114" t="str">
        <f t="shared" si="2"/>
        <v>PE.7R.A.P2.PNT.005.00</v>
      </c>
      <c r="L48" s="115" t="s">
        <v>234</v>
      </c>
      <c r="M48" s="111" t="s">
        <v>231</v>
      </c>
      <c r="N48" s="116"/>
      <c r="O48" s="117"/>
      <c r="P48" s="117"/>
      <c r="Q48" s="118"/>
      <c r="R48" s="118"/>
      <c r="S48" s="118"/>
    </row>
    <row r="49" spans="1:19" ht="20.100000000000001" hidden="1" customHeight="1">
      <c r="A49" s="109">
        <f t="shared" si="1"/>
        <v>46</v>
      </c>
      <c r="B49" s="110" t="s">
        <v>229</v>
      </c>
      <c r="C49" s="111" t="str">
        <f>WBS!$A$2</f>
        <v xml:space="preserve"> </v>
      </c>
      <c r="D49" s="112" t="s">
        <v>35</v>
      </c>
      <c r="E49" s="112" t="s">
        <v>63</v>
      </c>
      <c r="F49" s="112" t="s">
        <v>29</v>
      </c>
      <c r="G49" s="113" t="s">
        <v>59</v>
      </c>
      <c r="H49" s="112" t="s">
        <v>104</v>
      </c>
      <c r="I49" s="112" t="s">
        <v>176</v>
      </c>
      <c r="J49" s="112" t="s">
        <v>163</v>
      </c>
      <c r="K49" s="114" t="str">
        <f t="shared" si="2"/>
        <v>PE.7R.A.P3.PNT.006.00</v>
      </c>
      <c r="L49" s="115" t="s">
        <v>235</v>
      </c>
      <c r="M49" s="111" t="s">
        <v>231</v>
      </c>
      <c r="N49" s="116"/>
      <c r="O49" s="117"/>
      <c r="P49" s="117"/>
      <c r="Q49" s="118"/>
      <c r="R49" s="118"/>
      <c r="S49" s="118"/>
    </row>
    <row r="50" spans="1:19" ht="20.100000000000001" hidden="1" customHeight="1">
      <c r="A50" s="109">
        <f t="shared" si="1"/>
        <v>47</v>
      </c>
      <c r="B50" s="110" t="s">
        <v>229</v>
      </c>
      <c r="C50" s="111" t="str">
        <f>WBS!$A$2</f>
        <v xml:space="preserve"> </v>
      </c>
      <c r="D50" s="112" t="s">
        <v>35</v>
      </c>
      <c r="E50" s="112" t="s">
        <v>63</v>
      </c>
      <c r="F50" s="112" t="s">
        <v>29</v>
      </c>
      <c r="G50" s="113" t="s">
        <v>67</v>
      </c>
      <c r="H50" s="112" t="s">
        <v>104</v>
      </c>
      <c r="I50" s="112" t="s">
        <v>178</v>
      </c>
      <c r="J50" s="112" t="s">
        <v>163</v>
      </c>
      <c r="K50" s="114" t="str">
        <f t="shared" si="2"/>
        <v>PE.7R.A.P4.PNT.007.00</v>
      </c>
      <c r="L50" s="115" t="s">
        <v>236</v>
      </c>
      <c r="M50" s="111" t="s">
        <v>231</v>
      </c>
      <c r="N50" s="116"/>
      <c r="O50" s="117"/>
      <c r="P50" s="117"/>
      <c r="Q50" s="118"/>
      <c r="R50" s="118"/>
      <c r="S50" s="118"/>
    </row>
    <row r="51" spans="1:19" ht="20.100000000000001" hidden="1" customHeight="1">
      <c r="A51" s="109">
        <f t="shared" si="1"/>
        <v>48</v>
      </c>
      <c r="B51" s="110" t="s">
        <v>229</v>
      </c>
      <c r="C51" s="111" t="str">
        <f>WBS!$A$2</f>
        <v xml:space="preserve"> </v>
      </c>
      <c r="D51" s="112" t="s">
        <v>35</v>
      </c>
      <c r="E51" s="112" t="s">
        <v>63</v>
      </c>
      <c r="F51" s="112" t="s">
        <v>29</v>
      </c>
      <c r="G51" s="113" t="s">
        <v>74</v>
      </c>
      <c r="H51" s="112" t="s">
        <v>104</v>
      </c>
      <c r="I51" s="112" t="s">
        <v>180</v>
      </c>
      <c r="J51" s="112" t="s">
        <v>163</v>
      </c>
      <c r="K51" s="114" t="str">
        <f t="shared" si="2"/>
        <v>PE.7R.A.P5.PNT.008.00</v>
      </c>
      <c r="L51" s="115" t="s">
        <v>237</v>
      </c>
      <c r="M51" s="111" t="s">
        <v>231</v>
      </c>
      <c r="N51" s="116"/>
      <c r="O51" s="117"/>
      <c r="P51" s="117"/>
      <c r="Q51" s="118"/>
      <c r="R51" s="118"/>
      <c r="S51" s="118"/>
    </row>
    <row r="52" spans="1:19" ht="20.100000000000001" hidden="1" customHeight="1">
      <c r="A52" s="109">
        <f t="shared" si="1"/>
        <v>49</v>
      </c>
      <c r="B52" s="110" t="s">
        <v>229</v>
      </c>
      <c r="C52" s="111" t="str">
        <f>WBS!$A$2</f>
        <v xml:space="preserve"> </v>
      </c>
      <c r="D52" s="112" t="s">
        <v>35</v>
      </c>
      <c r="E52" s="112" t="s">
        <v>63</v>
      </c>
      <c r="F52" s="112" t="s">
        <v>29</v>
      </c>
      <c r="G52" s="113" t="s">
        <v>79</v>
      </c>
      <c r="H52" s="112" t="s">
        <v>104</v>
      </c>
      <c r="I52" s="112" t="s">
        <v>182</v>
      </c>
      <c r="J52" s="112" t="s">
        <v>163</v>
      </c>
      <c r="K52" s="114" t="str">
        <f t="shared" si="2"/>
        <v>PE.7R.A.P6.PNT.009.00</v>
      </c>
      <c r="L52" s="115" t="s">
        <v>238</v>
      </c>
      <c r="M52" s="111" t="s">
        <v>231</v>
      </c>
      <c r="N52" s="116"/>
      <c r="O52" s="117"/>
      <c r="P52" s="117"/>
      <c r="Q52" s="118"/>
      <c r="R52" s="118"/>
      <c r="S52" s="118"/>
    </row>
    <row r="53" spans="1:19" ht="20.100000000000001" hidden="1" customHeight="1">
      <c r="A53" s="109">
        <f t="shared" si="1"/>
        <v>50</v>
      </c>
      <c r="B53" s="110" t="s">
        <v>229</v>
      </c>
      <c r="C53" s="111" t="str">
        <f>WBS!$A$2</f>
        <v xml:space="preserve"> </v>
      </c>
      <c r="D53" s="112" t="s">
        <v>35</v>
      </c>
      <c r="E53" s="112" t="s">
        <v>63</v>
      </c>
      <c r="F53" s="112" t="s">
        <v>29</v>
      </c>
      <c r="G53" s="113" t="s">
        <v>84</v>
      </c>
      <c r="H53" s="112" t="s">
        <v>104</v>
      </c>
      <c r="I53" s="112" t="s">
        <v>184</v>
      </c>
      <c r="J53" s="112" t="s">
        <v>163</v>
      </c>
      <c r="K53" s="114" t="str">
        <f t="shared" si="2"/>
        <v>PE.7R.A.P7.PNT.010.00</v>
      </c>
      <c r="L53" s="115" t="s">
        <v>239</v>
      </c>
      <c r="M53" s="111" t="s">
        <v>231</v>
      </c>
      <c r="N53" s="116"/>
      <c r="O53" s="117"/>
      <c r="P53" s="117"/>
      <c r="Q53" s="118"/>
      <c r="R53" s="118"/>
      <c r="S53" s="118"/>
    </row>
    <row r="54" spans="1:19" ht="20.100000000000001" hidden="1" customHeight="1">
      <c r="A54" s="109">
        <f t="shared" si="1"/>
        <v>51</v>
      </c>
      <c r="B54" s="110" t="s">
        <v>229</v>
      </c>
      <c r="C54" s="111" t="str">
        <f>WBS!$A$2</f>
        <v xml:space="preserve"> </v>
      </c>
      <c r="D54" s="112" t="s">
        <v>35</v>
      </c>
      <c r="E54" s="112" t="s">
        <v>63</v>
      </c>
      <c r="F54" s="112" t="s">
        <v>29</v>
      </c>
      <c r="G54" s="113" t="s">
        <v>89</v>
      </c>
      <c r="H54" s="112" t="s">
        <v>104</v>
      </c>
      <c r="I54" s="112" t="s">
        <v>186</v>
      </c>
      <c r="J54" s="112" t="s">
        <v>163</v>
      </c>
      <c r="K54" s="114" t="str">
        <f t="shared" si="2"/>
        <v>PE.7R.A.P8.PNT.011.00</v>
      </c>
      <c r="L54" s="115" t="s">
        <v>240</v>
      </c>
      <c r="M54" s="111" t="s">
        <v>231</v>
      </c>
      <c r="N54" s="116"/>
      <c r="O54" s="117"/>
      <c r="P54" s="117"/>
      <c r="Q54" s="118"/>
      <c r="R54" s="118"/>
      <c r="S54" s="118"/>
    </row>
    <row r="55" spans="1:19" ht="20.100000000000001" hidden="1" customHeight="1">
      <c r="A55" s="109">
        <f t="shared" si="1"/>
        <v>52</v>
      </c>
      <c r="B55" s="110" t="s">
        <v>229</v>
      </c>
      <c r="C55" s="111" t="str">
        <f>WBS!$A$2</f>
        <v xml:space="preserve"> </v>
      </c>
      <c r="D55" s="112" t="s">
        <v>35</v>
      </c>
      <c r="E55" s="112" t="s">
        <v>63</v>
      </c>
      <c r="F55" s="112" t="s">
        <v>29</v>
      </c>
      <c r="G55" s="113" t="s">
        <v>94</v>
      </c>
      <c r="H55" s="112" t="s">
        <v>104</v>
      </c>
      <c r="I55" s="112" t="s">
        <v>187</v>
      </c>
      <c r="J55" s="112" t="s">
        <v>163</v>
      </c>
      <c r="K55" s="114" t="str">
        <f t="shared" si="2"/>
        <v>PE.7R.A.P9.PNT.012.00</v>
      </c>
      <c r="L55" s="115" t="s">
        <v>241</v>
      </c>
      <c r="M55" s="111" t="s">
        <v>231</v>
      </c>
      <c r="N55" s="116"/>
      <c r="O55" s="117"/>
      <c r="P55" s="117"/>
      <c r="Q55" s="118"/>
      <c r="R55" s="118"/>
      <c r="S55" s="118"/>
    </row>
    <row r="56" spans="1:19" ht="20.100000000000001" hidden="1" customHeight="1">
      <c r="A56" s="109">
        <f t="shared" si="1"/>
        <v>53</v>
      </c>
      <c r="B56" s="110" t="s">
        <v>229</v>
      </c>
      <c r="C56" s="111" t="str">
        <f>WBS!$A$2</f>
        <v xml:space="preserve"> </v>
      </c>
      <c r="D56" s="112" t="s">
        <v>35</v>
      </c>
      <c r="E56" s="112" t="s">
        <v>63</v>
      </c>
      <c r="F56" s="112" t="s">
        <v>29</v>
      </c>
      <c r="G56" s="113" t="s">
        <v>97</v>
      </c>
      <c r="H56" s="112" t="s">
        <v>104</v>
      </c>
      <c r="I56" s="112" t="s">
        <v>189</v>
      </c>
      <c r="J56" s="112" t="s">
        <v>163</v>
      </c>
      <c r="K56" s="114" t="str">
        <f t="shared" si="2"/>
        <v>PE.7R.A.P10.PNT.013.00</v>
      </c>
      <c r="L56" s="115" t="s">
        <v>242</v>
      </c>
      <c r="M56" s="111" t="s">
        <v>231</v>
      </c>
      <c r="N56" s="116"/>
      <c r="O56" s="117"/>
      <c r="P56" s="117"/>
      <c r="Q56" s="118"/>
      <c r="R56" s="118"/>
      <c r="S56" s="118"/>
    </row>
    <row r="57" spans="1:19" ht="20.100000000000001" hidden="1" customHeight="1">
      <c r="A57" s="109">
        <f t="shared" si="1"/>
        <v>54</v>
      </c>
      <c r="B57" s="110" t="s">
        <v>229</v>
      </c>
      <c r="C57" s="111" t="str">
        <f>WBS!$A$2</f>
        <v xml:space="preserve"> </v>
      </c>
      <c r="D57" s="112" t="s">
        <v>35</v>
      </c>
      <c r="E57" s="112" t="s">
        <v>63</v>
      </c>
      <c r="F57" s="112" t="s">
        <v>29</v>
      </c>
      <c r="G57" s="113" t="s">
        <v>100</v>
      </c>
      <c r="H57" s="112" t="s">
        <v>104</v>
      </c>
      <c r="I57" s="112" t="s">
        <v>191</v>
      </c>
      <c r="J57" s="112" t="s">
        <v>163</v>
      </c>
      <c r="K57" s="114" t="str">
        <f t="shared" si="2"/>
        <v>PE.7R.A.P11.PNT.014.00</v>
      </c>
      <c r="L57" s="115" t="s">
        <v>243</v>
      </c>
      <c r="M57" s="111" t="s">
        <v>231</v>
      </c>
      <c r="N57" s="116"/>
      <c r="O57" s="117"/>
      <c r="P57" s="117"/>
      <c r="Q57" s="118"/>
      <c r="R57" s="118"/>
      <c r="S57" s="118"/>
    </row>
    <row r="58" spans="1:19" ht="20.100000000000001" hidden="1" customHeight="1">
      <c r="A58" s="109">
        <f t="shared" si="1"/>
        <v>55</v>
      </c>
      <c r="B58" s="110" t="s">
        <v>229</v>
      </c>
      <c r="C58" s="111" t="str">
        <f>WBS!$A$2</f>
        <v xml:space="preserve"> </v>
      </c>
      <c r="D58" s="112" t="s">
        <v>35</v>
      </c>
      <c r="E58" s="112" t="s">
        <v>63</v>
      </c>
      <c r="F58" s="112" t="s">
        <v>29</v>
      </c>
      <c r="G58" s="113" t="s">
        <v>103</v>
      </c>
      <c r="H58" s="112" t="s">
        <v>104</v>
      </c>
      <c r="I58" s="112" t="s">
        <v>193</v>
      </c>
      <c r="J58" s="112" t="s">
        <v>163</v>
      </c>
      <c r="K58" s="114" t="str">
        <f t="shared" si="2"/>
        <v>PE.7R.A.P12.PNT.015.00</v>
      </c>
      <c r="L58" s="115" t="s">
        <v>244</v>
      </c>
      <c r="M58" s="111" t="s">
        <v>231</v>
      </c>
      <c r="N58" s="116"/>
      <c r="O58" s="117"/>
      <c r="P58" s="117"/>
      <c r="Q58" s="118"/>
      <c r="R58" s="118"/>
      <c r="S58" s="118"/>
    </row>
    <row r="59" spans="1:19" ht="20.100000000000001" hidden="1" customHeight="1">
      <c r="A59" s="109">
        <f t="shared" si="1"/>
        <v>56</v>
      </c>
      <c r="B59" s="110" t="s">
        <v>229</v>
      </c>
      <c r="C59" s="111" t="str">
        <f>WBS!$A$2</f>
        <v xml:space="preserve"> </v>
      </c>
      <c r="D59" s="112" t="s">
        <v>35</v>
      </c>
      <c r="E59" s="112" t="s">
        <v>63</v>
      </c>
      <c r="F59" s="112" t="s">
        <v>29</v>
      </c>
      <c r="G59" s="113" t="s">
        <v>106</v>
      </c>
      <c r="H59" s="112" t="s">
        <v>104</v>
      </c>
      <c r="I59" s="112" t="s">
        <v>195</v>
      </c>
      <c r="J59" s="112" t="s">
        <v>163</v>
      </c>
      <c r="K59" s="114" t="str">
        <f t="shared" si="2"/>
        <v>PE.7R.A.P13.PNT.016.00</v>
      </c>
      <c r="L59" s="115" t="s">
        <v>245</v>
      </c>
      <c r="M59" s="111" t="s">
        <v>231</v>
      </c>
      <c r="N59" s="116"/>
      <c r="O59" s="117"/>
      <c r="P59" s="117"/>
      <c r="Q59" s="118"/>
      <c r="R59" s="118"/>
      <c r="S59" s="118"/>
    </row>
    <row r="60" spans="1:19" ht="20.100000000000001" hidden="1" customHeight="1">
      <c r="A60" s="109">
        <f t="shared" si="1"/>
        <v>57</v>
      </c>
      <c r="B60" s="110" t="s">
        <v>229</v>
      </c>
      <c r="C60" s="111" t="str">
        <f>WBS!$A$2</f>
        <v xml:space="preserve"> </v>
      </c>
      <c r="D60" s="112" t="s">
        <v>35</v>
      </c>
      <c r="E60" s="112" t="s">
        <v>63</v>
      </c>
      <c r="F60" s="112" t="s">
        <v>29</v>
      </c>
      <c r="G60" s="113" t="s">
        <v>109</v>
      </c>
      <c r="H60" s="112" t="s">
        <v>104</v>
      </c>
      <c r="I60" s="112" t="s">
        <v>246</v>
      </c>
      <c r="J60" s="112" t="s">
        <v>163</v>
      </c>
      <c r="K60" s="114" t="str">
        <f t="shared" si="2"/>
        <v>PE.7R.A.P14.PNT.017.00</v>
      </c>
      <c r="L60" s="115" t="s">
        <v>247</v>
      </c>
      <c r="M60" s="111" t="s">
        <v>231</v>
      </c>
      <c r="N60" s="116"/>
      <c r="O60" s="117"/>
      <c r="P60" s="117"/>
      <c r="Q60" s="118"/>
      <c r="R60" s="118"/>
      <c r="S60" s="118"/>
    </row>
    <row r="61" spans="1:19" ht="20.100000000000001" hidden="1" customHeight="1">
      <c r="A61" s="109">
        <f t="shared" si="1"/>
        <v>58</v>
      </c>
      <c r="B61" s="110" t="s">
        <v>229</v>
      </c>
      <c r="C61" s="111" t="str">
        <f>WBS!$A$2</f>
        <v xml:space="preserve"> </v>
      </c>
      <c r="D61" s="112" t="s">
        <v>35</v>
      </c>
      <c r="E61" s="112" t="s">
        <v>63</v>
      </c>
      <c r="F61" s="112" t="s">
        <v>29</v>
      </c>
      <c r="G61" s="113" t="s">
        <v>112</v>
      </c>
      <c r="H61" s="112" t="s">
        <v>104</v>
      </c>
      <c r="I61" s="112" t="s">
        <v>248</v>
      </c>
      <c r="J61" s="112" t="s">
        <v>163</v>
      </c>
      <c r="K61" s="114" t="str">
        <f t="shared" si="2"/>
        <v>PE.7R.A.P15.PNT.018.00</v>
      </c>
      <c r="L61" s="115" t="s">
        <v>249</v>
      </c>
      <c r="M61" s="111" t="s">
        <v>231</v>
      </c>
      <c r="N61" s="116"/>
      <c r="O61" s="117"/>
      <c r="P61" s="117"/>
      <c r="Q61" s="118"/>
      <c r="R61" s="118"/>
      <c r="S61" s="118"/>
    </row>
    <row r="62" spans="1:19" ht="20.100000000000001" hidden="1" customHeight="1">
      <c r="A62" s="109">
        <f t="shared" si="1"/>
        <v>59</v>
      </c>
      <c r="B62" s="110" t="s">
        <v>229</v>
      </c>
      <c r="C62" s="111" t="str">
        <f>WBS!$A$2</f>
        <v xml:space="preserve"> </v>
      </c>
      <c r="D62" s="112" t="s">
        <v>35</v>
      </c>
      <c r="E62" s="112" t="s">
        <v>63</v>
      </c>
      <c r="F62" s="112" t="s">
        <v>29</v>
      </c>
      <c r="G62" s="113" t="s">
        <v>115</v>
      </c>
      <c r="H62" s="112" t="s">
        <v>104</v>
      </c>
      <c r="I62" s="112" t="s">
        <v>250</v>
      </c>
      <c r="J62" s="112" t="s">
        <v>163</v>
      </c>
      <c r="K62" s="114" t="str">
        <f t="shared" si="2"/>
        <v>PE.7R.A.P16.PNT.019.00</v>
      </c>
      <c r="L62" s="115" t="s">
        <v>251</v>
      </c>
      <c r="M62" s="111" t="s">
        <v>231</v>
      </c>
      <c r="N62" s="116"/>
      <c r="O62" s="117"/>
      <c r="P62" s="117"/>
      <c r="Q62" s="118"/>
      <c r="R62" s="118"/>
      <c r="S62" s="118"/>
    </row>
    <row r="63" spans="1:19" ht="20.100000000000001" hidden="1" customHeight="1">
      <c r="A63" s="119">
        <f t="shared" si="1"/>
        <v>60</v>
      </c>
      <c r="B63" s="110" t="s">
        <v>229</v>
      </c>
      <c r="C63" s="110" t="str">
        <f>WBS!$A$2</f>
        <v xml:space="preserve"> </v>
      </c>
      <c r="D63" s="112" t="s">
        <v>35</v>
      </c>
      <c r="E63" s="110" t="s">
        <v>63</v>
      </c>
      <c r="F63" s="110" t="s">
        <v>29</v>
      </c>
      <c r="G63" s="110" t="s">
        <v>118</v>
      </c>
      <c r="H63" s="110" t="s">
        <v>104</v>
      </c>
      <c r="I63" s="110" t="s">
        <v>252</v>
      </c>
      <c r="J63" s="110" t="s">
        <v>163</v>
      </c>
      <c r="K63" s="114" t="str">
        <f t="shared" si="2"/>
        <v>PE.7R.A.P17.PNT.020.00</v>
      </c>
      <c r="L63" s="115" t="s">
        <v>253</v>
      </c>
      <c r="M63" s="111" t="s">
        <v>231</v>
      </c>
      <c r="N63" s="116"/>
      <c r="O63" s="117"/>
      <c r="P63" s="117"/>
      <c r="Q63" s="118"/>
      <c r="R63" s="118"/>
      <c r="S63" s="118"/>
    </row>
    <row r="64" spans="1:19" ht="20.100000000000001" hidden="1" customHeight="1">
      <c r="A64" s="119">
        <f t="shared" si="1"/>
        <v>61</v>
      </c>
      <c r="B64" s="110" t="s">
        <v>229</v>
      </c>
      <c r="C64" s="110" t="str">
        <f>WBS!$A$2</f>
        <v xml:space="preserve"> </v>
      </c>
      <c r="D64" s="112" t="s">
        <v>35</v>
      </c>
      <c r="E64" s="110" t="s">
        <v>63</v>
      </c>
      <c r="F64" s="110" t="s">
        <v>29</v>
      </c>
      <c r="G64" s="110" t="s">
        <v>138</v>
      </c>
      <c r="H64" s="110" t="s">
        <v>104</v>
      </c>
      <c r="I64" s="110" t="s">
        <v>254</v>
      </c>
      <c r="J64" s="110" t="s">
        <v>163</v>
      </c>
      <c r="K64" s="114" t="str">
        <f t="shared" si="2"/>
        <v>PE.7R.A.PC.PNT.021.00</v>
      </c>
      <c r="L64" s="115" t="s">
        <v>255</v>
      </c>
      <c r="M64" s="111" t="s">
        <v>231</v>
      </c>
      <c r="N64" s="116"/>
      <c r="O64" s="117"/>
      <c r="P64" s="117"/>
      <c r="Q64" s="118"/>
      <c r="R64" s="118"/>
      <c r="S64" s="118"/>
    </row>
    <row r="65" spans="1:19" ht="20.100000000000001" hidden="1" customHeight="1">
      <c r="A65" s="119">
        <f t="shared" si="1"/>
        <v>62</v>
      </c>
      <c r="B65" s="110" t="s">
        <v>229</v>
      </c>
      <c r="C65" s="110" t="str">
        <f>WBS!$A$2</f>
        <v xml:space="preserve"> </v>
      </c>
      <c r="D65" s="112" t="s">
        <v>35</v>
      </c>
      <c r="E65" s="110" t="s">
        <v>63</v>
      </c>
      <c r="F65" s="110" t="s">
        <v>29</v>
      </c>
      <c r="G65" s="110" t="s">
        <v>22</v>
      </c>
      <c r="H65" s="110" t="s">
        <v>110</v>
      </c>
      <c r="I65" s="110" t="s">
        <v>256</v>
      </c>
      <c r="J65" s="110" t="s">
        <v>163</v>
      </c>
      <c r="K65" s="114" t="str">
        <f t="shared" si="2"/>
        <v>PE.7R.A.GE.PRO.022.00</v>
      </c>
      <c r="L65" s="115" t="s">
        <v>257</v>
      </c>
      <c r="M65" s="111" t="s">
        <v>231</v>
      </c>
      <c r="N65" s="120"/>
      <c r="O65" s="121"/>
      <c r="P65" s="121"/>
      <c r="Q65" s="122"/>
      <c r="R65" s="122"/>
      <c r="S65" s="122"/>
    </row>
    <row r="66" spans="1:19" ht="20.100000000000001" hidden="1" customHeight="1">
      <c r="A66" s="119">
        <f t="shared" si="1"/>
        <v>63</v>
      </c>
      <c r="B66" s="110" t="s">
        <v>229</v>
      </c>
      <c r="C66" s="110" t="str">
        <f>WBS!$A$2</f>
        <v xml:space="preserve"> </v>
      </c>
      <c r="D66" s="112" t="s">
        <v>35</v>
      </c>
      <c r="E66" s="110" t="s">
        <v>63</v>
      </c>
      <c r="F66" s="110" t="s">
        <v>29</v>
      </c>
      <c r="G66" s="110" t="s">
        <v>22</v>
      </c>
      <c r="H66" s="110" t="s">
        <v>110</v>
      </c>
      <c r="I66" s="110" t="s">
        <v>258</v>
      </c>
      <c r="J66" s="110" t="s">
        <v>163</v>
      </c>
      <c r="K66" s="114" t="str">
        <f t="shared" si="2"/>
        <v>PE.7R.A.GE.PRO.023.00</v>
      </c>
      <c r="L66" s="115" t="s">
        <v>259</v>
      </c>
      <c r="M66" s="111" t="s">
        <v>231</v>
      </c>
      <c r="N66" s="120"/>
      <c r="O66" s="121"/>
      <c r="P66" s="121"/>
      <c r="Q66" s="122"/>
      <c r="R66" s="122"/>
      <c r="S66" s="122"/>
    </row>
    <row r="67" spans="1:19" ht="20.100000000000001" hidden="1" customHeight="1">
      <c r="A67" s="119">
        <f t="shared" si="1"/>
        <v>64</v>
      </c>
      <c r="B67" s="110" t="s">
        <v>229</v>
      </c>
      <c r="C67" s="110" t="str">
        <f>WBS!$A$2</f>
        <v xml:space="preserve"> </v>
      </c>
      <c r="D67" s="112" t="s">
        <v>35</v>
      </c>
      <c r="E67" s="110" t="s">
        <v>63</v>
      </c>
      <c r="F67" s="110" t="s">
        <v>29</v>
      </c>
      <c r="G67" s="110" t="s">
        <v>22</v>
      </c>
      <c r="H67" s="110" t="s">
        <v>110</v>
      </c>
      <c r="I67" s="110" t="s">
        <v>260</v>
      </c>
      <c r="J67" s="110" t="s">
        <v>163</v>
      </c>
      <c r="K67" s="114" t="str">
        <f t="shared" si="2"/>
        <v>PE.7R.A.GE.PRO.024.00</v>
      </c>
      <c r="L67" s="115" t="s">
        <v>261</v>
      </c>
      <c r="M67" s="111" t="s">
        <v>231</v>
      </c>
      <c r="N67" s="120"/>
      <c r="O67" s="121"/>
      <c r="P67" s="121"/>
      <c r="Q67" s="122"/>
      <c r="R67" s="122"/>
      <c r="S67" s="122"/>
    </row>
    <row r="68" spans="1:19" ht="20.100000000000001" hidden="1" customHeight="1">
      <c r="A68" s="119">
        <f t="shared" si="1"/>
        <v>65</v>
      </c>
      <c r="B68" s="110" t="s">
        <v>229</v>
      </c>
      <c r="C68" s="110" t="str">
        <f>WBS!$A$2</f>
        <v xml:space="preserve"> </v>
      </c>
      <c r="D68" s="112" t="s">
        <v>35</v>
      </c>
      <c r="E68" s="110" t="s">
        <v>63</v>
      </c>
      <c r="F68" s="110" t="s">
        <v>29</v>
      </c>
      <c r="G68" s="110" t="s">
        <v>22</v>
      </c>
      <c r="H68" s="110" t="s">
        <v>107</v>
      </c>
      <c r="I68" s="110" t="s">
        <v>262</v>
      </c>
      <c r="J68" s="110" t="s">
        <v>163</v>
      </c>
      <c r="K68" s="114" t="str">
        <f t="shared" si="2"/>
        <v>PE.7R.A.GE.SEZ.025.00</v>
      </c>
      <c r="L68" s="115" t="s">
        <v>263</v>
      </c>
      <c r="M68" s="111" t="s">
        <v>231</v>
      </c>
      <c r="N68" s="120"/>
      <c r="O68" s="121"/>
      <c r="P68" s="121"/>
      <c r="Q68" s="122"/>
      <c r="R68" s="122"/>
      <c r="S68" s="122"/>
    </row>
    <row r="69" spans="1:19" ht="20.100000000000001" hidden="1" customHeight="1">
      <c r="A69" s="119">
        <f t="shared" si="1"/>
        <v>66</v>
      </c>
      <c r="B69" s="110" t="s">
        <v>229</v>
      </c>
      <c r="C69" s="110" t="str">
        <f>WBS!$A$2</f>
        <v xml:space="preserve"> </v>
      </c>
      <c r="D69" s="112" t="s">
        <v>35</v>
      </c>
      <c r="E69" s="110" t="s">
        <v>63</v>
      </c>
      <c r="F69" s="110" t="s">
        <v>29</v>
      </c>
      <c r="G69" s="110" t="s">
        <v>22</v>
      </c>
      <c r="H69" s="110" t="s">
        <v>107</v>
      </c>
      <c r="I69" s="110" t="s">
        <v>264</v>
      </c>
      <c r="J69" s="110" t="s">
        <v>163</v>
      </c>
      <c r="K69" s="114" t="str">
        <f t="shared" si="2"/>
        <v>PE.7R.A.GE.SEZ.026.00</v>
      </c>
      <c r="L69" s="115" t="s">
        <v>265</v>
      </c>
      <c r="M69" s="111" t="s">
        <v>231</v>
      </c>
      <c r="N69" s="120"/>
      <c r="O69" s="121"/>
      <c r="P69" s="121"/>
      <c r="Q69" s="122"/>
      <c r="R69" s="122"/>
      <c r="S69" s="122"/>
    </row>
    <row r="70" spans="1:19" ht="20.100000000000001" hidden="1" customHeight="1">
      <c r="A70" s="119">
        <f t="shared" si="1"/>
        <v>67</v>
      </c>
      <c r="B70" s="110" t="s">
        <v>229</v>
      </c>
      <c r="C70" s="110" t="str">
        <f>WBS!$A$2</f>
        <v xml:space="preserve"> </v>
      </c>
      <c r="D70" s="112" t="s">
        <v>35</v>
      </c>
      <c r="E70" s="110" t="s">
        <v>63</v>
      </c>
      <c r="F70" s="110" t="s">
        <v>29</v>
      </c>
      <c r="G70" s="110" t="s">
        <v>22</v>
      </c>
      <c r="H70" s="110" t="s">
        <v>107</v>
      </c>
      <c r="I70" s="110" t="s">
        <v>266</v>
      </c>
      <c r="J70" s="110" t="s">
        <v>163</v>
      </c>
      <c r="K70" s="114" t="str">
        <f t="shared" si="2"/>
        <v>PE.7R.A.GE.SEZ.027.00</v>
      </c>
      <c r="L70" s="115" t="s">
        <v>267</v>
      </c>
      <c r="M70" s="111" t="s">
        <v>231</v>
      </c>
      <c r="N70" s="120"/>
      <c r="O70" s="121"/>
      <c r="P70" s="121"/>
      <c r="Q70" s="122"/>
      <c r="R70" s="122"/>
      <c r="S70" s="122"/>
    </row>
    <row r="71" spans="1:19" ht="12" hidden="1" customHeight="1">
      <c r="A71" s="165" t="s">
        <v>268</v>
      </c>
      <c r="B71" s="166"/>
      <c r="C71" s="154"/>
      <c r="D71" s="166"/>
      <c r="E71" s="166"/>
      <c r="F71" s="166"/>
      <c r="G71" s="166"/>
      <c r="H71" s="166"/>
      <c r="I71" s="166"/>
      <c r="J71" s="166"/>
      <c r="K71" s="166"/>
      <c r="L71" s="166"/>
      <c r="M71" s="166"/>
      <c r="N71" s="151"/>
      <c r="O71" s="167"/>
      <c r="P71" s="167"/>
      <c r="Q71" s="157"/>
      <c r="R71" s="157"/>
      <c r="S71" s="168"/>
    </row>
    <row r="72" spans="1:19" ht="20.100000000000001" hidden="1" customHeight="1">
      <c r="A72" s="109">
        <f t="shared" si="1"/>
        <v>69</v>
      </c>
      <c r="B72" s="110" t="s">
        <v>269</v>
      </c>
      <c r="C72" s="111" t="str">
        <f>WBS!$A$2</f>
        <v xml:space="preserve"> </v>
      </c>
      <c r="D72" s="112" t="s">
        <v>35</v>
      </c>
      <c r="E72" s="112" t="s">
        <v>63</v>
      </c>
      <c r="F72" s="112" t="s">
        <v>87</v>
      </c>
      <c r="G72" s="113" t="s">
        <v>127</v>
      </c>
      <c r="H72" s="112" t="s">
        <v>104</v>
      </c>
      <c r="I72" s="112" t="s">
        <v>166</v>
      </c>
      <c r="J72" s="112" t="s">
        <v>163</v>
      </c>
      <c r="K72" s="114" t="str">
        <f t="shared" ref="K72:K86" si="3">CONCATENATE(D72,".",E72,".",F72,".",G72,".",H72,".",I72,".",J72)</f>
        <v>PE.7R.BFG.PI.PNT.001.00</v>
      </c>
      <c r="L72" s="115" t="s">
        <v>230</v>
      </c>
      <c r="M72" s="111" t="s">
        <v>231</v>
      </c>
      <c r="N72" s="116"/>
      <c r="O72" s="117"/>
      <c r="P72" s="117"/>
      <c r="Q72" s="118"/>
      <c r="R72" s="118"/>
      <c r="S72" s="118"/>
    </row>
    <row r="73" spans="1:19" ht="20.100000000000001" hidden="1" customHeight="1">
      <c r="A73" s="109">
        <f t="shared" si="1"/>
        <v>70</v>
      </c>
      <c r="B73" s="110" t="s">
        <v>269</v>
      </c>
      <c r="C73" s="111" t="str">
        <f>WBS!$A$2</f>
        <v xml:space="preserve"> </v>
      </c>
      <c r="D73" s="112" t="s">
        <v>35</v>
      </c>
      <c r="E73" s="112" t="s">
        <v>63</v>
      </c>
      <c r="F73" s="112" t="s">
        <v>87</v>
      </c>
      <c r="G73" s="113" t="s">
        <v>31</v>
      </c>
      <c r="H73" s="112" t="s">
        <v>104</v>
      </c>
      <c r="I73" s="112" t="s">
        <v>168</v>
      </c>
      <c r="J73" s="112" t="s">
        <v>163</v>
      </c>
      <c r="K73" s="114" t="str">
        <f t="shared" si="3"/>
        <v>PE.7R.BFG.P0.PNT.002.00</v>
      </c>
      <c r="L73" s="115" t="s">
        <v>232</v>
      </c>
      <c r="M73" s="111" t="s">
        <v>231</v>
      </c>
      <c r="N73" s="116"/>
      <c r="O73" s="117"/>
      <c r="P73" s="117"/>
      <c r="Q73" s="118"/>
      <c r="R73" s="118"/>
      <c r="S73" s="118"/>
    </row>
    <row r="74" spans="1:19" ht="20.100000000000001" hidden="1" customHeight="1">
      <c r="A74" s="109">
        <f t="shared" si="1"/>
        <v>71</v>
      </c>
      <c r="B74" s="110" t="s">
        <v>269</v>
      </c>
      <c r="C74" s="111" t="str">
        <f>WBS!$A$2</f>
        <v xml:space="preserve"> </v>
      </c>
      <c r="D74" s="112" t="s">
        <v>35</v>
      </c>
      <c r="E74" s="112" t="s">
        <v>63</v>
      </c>
      <c r="F74" s="112" t="s">
        <v>87</v>
      </c>
      <c r="G74" s="113" t="s">
        <v>134</v>
      </c>
      <c r="H74" s="112" t="s">
        <v>104</v>
      </c>
      <c r="I74" s="112" t="s">
        <v>170</v>
      </c>
      <c r="J74" s="112" t="s">
        <v>163</v>
      </c>
      <c r="K74" s="114" t="str">
        <f t="shared" si="3"/>
        <v>PE.7R.BFG.PR.PNT.003.00</v>
      </c>
      <c r="L74" s="115" t="s">
        <v>135</v>
      </c>
      <c r="M74" s="111" t="s">
        <v>231</v>
      </c>
      <c r="N74" s="116"/>
      <c r="O74" s="117"/>
      <c r="P74" s="117"/>
      <c r="Q74" s="118"/>
      <c r="R74" s="118"/>
      <c r="S74" s="118"/>
    </row>
    <row r="75" spans="1:19" ht="20.100000000000001" hidden="1" customHeight="1">
      <c r="A75" s="109">
        <f t="shared" si="1"/>
        <v>72</v>
      </c>
      <c r="B75" s="110" t="s">
        <v>269</v>
      </c>
      <c r="C75" s="111" t="str">
        <f>WBS!$A$2</f>
        <v xml:space="preserve"> </v>
      </c>
      <c r="D75" s="112" t="s">
        <v>35</v>
      </c>
      <c r="E75" s="112" t="s">
        <v>63</v>
      </c>
      <c r="F75" s="112" t="s">
        <v>87</v>
      </c>
      <c r="G75" s="113" t="s">
        <v>41</v>
      </c>
      <c r="H75" s="112" t="s">
        <v>104</v>
      </c>
      <c r="I75" s="112" t="s">
        <v>172</v>
      </c>
      <c r="J75" s="112" t="s">
        <v>163</v>
      </c>
      <c r="K75" s="114" t="str">
        <f t="shared" si="3"/>
        <v>PE.7R.BFG.P1.PNT.004.00</v>
      </c>
      <c r="L75" s="115" t="s">
        <v>233</v>
      </c>
      <c r="M75" s="111" t="s">
        <v>231</v>
      </c>
      <c r="N75" s="116"/>
      <c r="O75" s="117"/>
      <c r="P75" s="117"/>
      <c r="Q75" s="118"/>
      <c r="R75" s="118"/>
      <c r="S75" s="118"/>
    </row>
    <row r="76" spans="1:19" ht="20.100000000000001" hidden="1" customHeight="1">
      <c r="A76" s="109">
        <f t="shared" si="1"/>
        <v>73</v>
      </c>
      <c r="B76" s="110" t="s">
        <v>269</v>
      </c>
      <c r="C76" s="111" t="str">
        <f>WBS!$A$2</f>
        <v xml:space="preserve"> </v>
      </c>
      <c r="D76" s="112" t="s">
        <v>35</v>
      </c>
      <c r="E76" s="112" t="s">
        <v>63</v>
      </c>
      <c r="F76" s="112" t="s">
        <v>87</v>
      </c>
      <c r="G76" s="113" t="s">
        <v>51</v>
      </c>
      <c r="H76" s="112" t="s">
        <v>104</v>
      </c>
      <c r="I76" s="112" t="s">
        <v>174</v>
      </c>
      <c r="J76" s="112" t="s">
        <v>163</v>
      </c>
      <c r="K76" s="114" t="str">
        <f t="shared" si="3"/>
        <v>PE.7R.BFG.P2.PNT.005.00</v>
      </c>
      <c r="L76" s="115" t="s">
        <v>234</v>
      </c>
      <c r="M76" s="111" t="s">
        <v>231</v>
      </c>
      <c r="N76" s="116"/>
      <c r="O76" s="117"/>
      <c r="P76" s="117"/>
      <c r="Q76" s="118"/>
      <c r="R76" s="118"/>
      <c r="S76" s="118"/>
    </row>
    <row r="77" spans="1:19" ht="20.100000000000001" hidden="1" customHeight="1">
      <c r="A77" s="109">
        <f t="shared" si="1"/>
        <v>74</v>
      </c>
      <c r="B77" s="110" t="s">
        <v>269</v>
      </c>
      <c r="C77" s="111" t="str">
        <f>WBS!$A$2</f>
        <v xml:space="preserve"> </v>
      </c>
      <c r="D77" s="112" t="s">
        <v>35</v>
      </c>
      <c r="E77" s="112" t="s">
        <v>63</v>
      </c>
      <c r="F77" s="112" t="s">
        <v>87</v>
      </c>
      <c r="G77" s="113" t="s">
        <v>59</v>
      </c>
      <c r="H77" s="112" t="s">
        <v>104</v>
      </c>
      <c r="I77" s="112" t="s">
        <v>176</v>
      </c>
      <c r="J77" s="112" t="s">
        <v>163</v>
      </c>
      <c r="K77" s="114" t="str">
        <f t="shared" si="3"/>
        <v>PE.7R.BFG.P3.PNT.006.00</v>
      </c>
      <c r="L77" s="115" t="s">
        <v>235</v>
      </c>
      <c r="M77" s="111" t="s">
        <v>231</v>
      </c>
      <c r="N77" s="116"/>
      <c r="O77" s="117"/>
      <c r="P77" s="117"/>
      <c r="Q77" s="118"/>
      <c r="R77" s="118"/>
      <c r="S77" s="118"/>
    </row>
    <row r="78" spans="1:19" ht="20.100000000000001" hidden="1" customHeight="1">
      <c r="A78" s="109">
        <f t="shared" si="1"/>
        <v>75</v>
      </c>
      <c r="B78" s="110" t="s">
        <v>269</v>
      </c>
      <c r="C78" s="111" t="str">
        <f>WBS!$A$2</f>
        <v xml:space="preserve"> </v>
      </c>
      <c r="D78" s="112" t="s">
        <v>35</v>
      </c>
      <c r="E78" s="112" t="s">
        <v>63</v>
      </c>
      <c r="F78" s="112" t="s">
        <v>87</v>
      </c>
      <c r="G78" s="113" t="s">
        <v>67</v>
      </c>
      <c r="H78" s="112" t="s">
        <v>104</v>
      </c>
      <c r="I78" s="112" t="s">
        <v>178</v>
      </c>
      <c r="J78" s="112" t="s">
        <v>163</v>
      </c>
      <c r="K78" s="114" t="str">
        <f t="shared" si="3"/>
        <v>PE.7R.BFG.P4.PNT.007.00</v>
      </c>
      <c r="L78" s="115" t="s">
        <v>236</v>
      </c>
      <c r="M78" s="111" t="s">
        <v>231</v>
      </c>
      <c r="N78" s="116"/>
      <c r="O78" s="117"/>
      <c r="P78" s="117"/>
      <c r="Q78" s="118"/>
      <c r="R78" s="118"/>
      <c r="S78" s="118"/>
    </row>
    <row r="79" spans="1:19" ht="20.100000000000001" hidden="1" customHeight="1">
      <c r="A79" s="109">
        <f t="shared" si="1"/>
        <v>76</v>
      </c>
      <c r="B79" s="110" t="s">
        <v>269</v>
      </c>
      <c r="C79" s="111" t="str">
        <f>WBS!$A$2</f>
        <v xml:space="preserve"> </v>
      </c>
      <c r="D79" s="112" t="s">
        <v>35</v>
      </c>
      <c r="E79" s="112" t="s">
        <v>63</v>
      </c>
      <c r="F79" s="112" t="s">
        <v>87</v>
      </c>
      <c r="G79" s="113" t="s">
        <v>74</v>
      </c>
      <c r="H79" s="112" t="s">
        <v>104</v>
      </c>
      <c r="I79" s="112" t="s">
        <v>180</v>
      </c>
      <c r="J79" s="112" t="s">
        <v>163</v>
      </c>
      <c r="K79" s="114" t="str">
        <f t="shared" si="3"/>
        <v>PE.7R.BFG.P5.PNT.008.00</v>
      </c>
      <c r="L79" s="115" t="s">
        <v>237</v>
      </c>
      <c r="M79" s="111" t="s">
        <v>231</v>
      </c>
      <c r="N79" s="116"/>
      <c r="O79" s="117"/>
      <c r="P79" s="117"/>
      <c r="Q79" s="118"/>
      <c r="R79" s="118"/>
      <c r="S79" s="118"/>
    </row>
    <row r="80" spans="1:19" ht="20.100000000000001" hidden="1" customHeight="1">
      <c r="A80" s="109">
        <f t="shared" si="1"/>
        <v>77</v>
      </c>
      <c r="B80" s="110" t="s">
        <v>269</v>
      </c>
      <c r="C80" s="111" t="str">
        <f>WBS!$A$2</f>
        <v xml:space="preserve"> </v>
      </c>
      <c r="D80" s="112" t="s">
        <v>35</v>
      </c>
      <c r="E80" s="112" t="s">
        <v>63</v>
      </c>
      <c r="F80" s="112" t="s">
        <v>87</v>
      </c>
      <c r="G80" s="113" t="s">
        <v>138</v>
      </c>
      <c r="H80" s="112" t="s">
        <v>104</v>
      </c>
      <c r="I80" s="112" t="s">
        <v>182</v>
      </c>
      <c r="J80" s="112" t="s">
        <v>163</v>
      </c>
      <c r="K80" s="114" t="str">
        <f t="shared" si="3"/>
        <v>PE.7R.BFG.PC.PNT.009.00</v>
      </c>
      <c r="L80" s="115" t="s">
        <v>238</v>
      </c>
      <c r="M80" s="111" t="s">
        <v>231</v>
      </c>
      <c r="N80" s="116"/>
      <c r="O80" s="117"/>
      <c r="P80" s="117"/>
      <c r="Q80" s="118"/>
      <c r="R80" s="118"/>
      <c r="S80" s="118"/>
    </row>
    <row r="81" spans="1:19" ht="20.100000000000001" hidden="1" customHeight="1">
      <c r="A81" s="109">
        <f t="shared" si="1"/>
        <v>78</v>
      </c>
      <c r="B81" s="110" t="s">
        <v>269</v>
      </c>
      <c r="C81" s="111" t="str">
        <f>WBS!$A$2</f>
        <v xml:space="preserve"> </v>
      </c>
      <c r="D81" s="112" t="s">
        <v>35</v>
      </c>
      <c r="E81" s="112" t="s">
        <v>63</v>
      </c>
      <c r="F81" s="112" t="s">
        <v>87</v>
      </c>
      <c r="G81" s="113" t="s">
        <v>22</v>
      </c>
      <c r="H81" s="112" t="s">
        <v>110</v>
      </c>
      <c r="I81" s="112" t="s">
        <v>184</v>
      </c>
      <c r="J81" s="112" t="s">
        <v>163</v>
      </c>
      <c r="K81" s="114" t="str">
        <f t="shared" si="3"/>
        <v>PE.7R.BFG.GE.PRO.010.00</v>
      </c>
      <c r="L81" s="115" t="s">
        <v>257</v>
      </c>
      <c r="M81" s="111" t="s">
        <v>231</v>
      </c>
      <c r="N81" s="116"/>
      <c r="O81" s="117"/>
      <c r="P81" s="117"/>
      <c r="Q81" s="118"/>
      <c r="R81" s="118"/>
      <c r="S81" s="118"/>
    </row>
    <row r="82" spans="1:19" ht="20.100000000000001" hidden="1" customHeight="1">
      <c r="A82" s="109">
        <f t="shared" si="1"/>
        <v>79</v>
      </c>
      <c r="B82" s="110" t="s">
        <v>269</v>
      </c>
      <c r="C82" s="111" t="str">
        <f>WBS!$A$2</f>
        <v xml:space="preserve"> </v>
      </c>
      <c r="D82" s="112" t="s">
        <v>35</v>
      </c>
      <c r="E82" s="112" t="s">
        <v>63</v>
      </c>
      <c r="F82" s="112" t="s">
        <v>87</v>
      </c>
      <c r="G82" s="113" t="s">
        <v>22</v>
      </c>
      <c r="H82" s="112" t="s">
        <v>110</v>
      </c>
      <c r="I82" s="112" t="s">
        <v>186</v>
      </c>
      <c r="J82" s="112" t="s">
        <v>163</v>
      </c>
      <c r="K82" s="114" t="str">
        <f t="shared" si="3"/>
        <v>PE.7R.BFG.GE.PRO.011.00</v>
      </c>
      <c r="L82" s="115" t="s">
        <v>259</v>
      </c>
      <c r="M82" s="111" t="s">
        <v>231</v>
      </c>
      <c r="N82" s="116"/>
      <c r="O82" s="117"/>
      <c r="P82" s="117"/>
      <c r="Q82" s="118"/>
      <c r="R82" s="118"/>
      <c r="S82" s="118"/>
    </row>
    <row r="83" spans="1:19" ht="20.100000000000001" hidden="1" customHeight="1">
      <c r="A83" s="109">
        <f t="shared" si="1"/>
        <v>80</v>
      </c>
      <c r="B83" s="110" t="s">
        <v>269</v>
      </c>
      <c r="C83" s="111" t="str">
        <f>WBS!$A$2</f>
        <v xml:space="preserve"> </v>
      </c>
      <c r="D83" s="112" t="s">
        <v>35</v>
      </c>
      <c r="E83" s="112" t="s">
        <v>63</v>
      </c>
      <c r="F83" s="112" t="s">
        <v>87</v>
      </c>
      <c r="G83" s="113" t="s">
        <v>22</v>
      </c>
      <c r="H83" s="112" t="s">
        <v>110</v>
      </c>
      <c r="I83" s="112" t="s">
        <v>187</v>
      </c>
      <c r="J83" s="112" t="s">
        <v>163</v>
      </c>
      <c r="K83" s="114" t="str">
        <f t="shared" si="3"/>
        <v>PE.7R.BFG.GE.PRO.012.00</v>
      </c>
      <c r="L83" s="115" t="s">
        <v>261</v>
      </c>
      <c r="M83" s="111" t="s">
        <v>231</v>
      </c>
      <c r="N83" s="116"/>
      <c r="O83" s="117"/>
      <c r="P83" s="117"/>
      <c r="Q83" s="118"/>
      <c r="R83" s="118"/>
      <c r="S83" s="118"/>
    </row>
    <row r="84" spans="1:19" ht="20.100000000000001" hidden="1" customHeight="1">
      <c r="A84" s="109">
        <f t="shared" si="1"/>
        <v>81</v>
      </c>
      <c r="B84" s="110" t="s">
        <v>269</v>
      </c>
      <c r="C84" s="111" t="str">
        <f>WBS!$A$2</f>
        <v xml:space="preserve"> </v>
      </c>
      <c r="D84" s="112" t="s">
        <v>35</v>
      </c>
      <c r="E84" s="112" t="s">
        <v>63</v>
      </c>
      <c r="F84" s="112" t="s">
        <v>87</v>
      </c>
      <c r="G84" s="113" t="s">
        <v>22</v>
      </c>
      <c r="H84" s="112" t="s">
        <v>107</v>
      </c>
      <c r="I84" s="112" t="s">
        <v>189</v>
      </c>
      <c r="J84" s="112" t="s">
        <v>163</v>
      </c>
      <c r="K84" s="114" t="str">
        <f t="shared" si="3"/>
        <v>PE.7R.BFG.GE.SEZ.013.00</v>
      </c>
      <c r="L84" s="115" t="s">
        <v>263</v>
      </c>
      <c r="M84" s="111" t="s">
        <v>231</v>
      </c>
      <c r="N84" s="116"/>
      <c r="O84" s="117"/>
      <c r="P84" s="117"/>
      <c r="Q84" s="118"/>
      <c r="R84" s="118"/>
      <c r="S84" s="118"/>
    </row>
    <row r="85" spans="1:19" ht="20.100000000000001" hidden="1" customHeight="1">
      <c r="A85" s="109">
        <f t="shared" si="1"/>
        <v>82</v>
      </c>
      <c r="B85" s="110" t="s">
        <v>269</v>
      </c>
      <c r="C85" s="111" t="str">
        <f>WBS!$A$2</f>
        <v xml:space="preserve"> </v>
      </c>
      <c r="D85" s="112" t="s">
        <v>35</v>
      </c>
      <c r="E85" s="112" t="s">
        <v>63</v>
      </c>
      <c r="F85" s="112" t="s">
        <v>87</v>
      </c>
      <c r="G85" s="113" t="s">
        <v>22</v>
      </c>
      <c r="H85" s="112" t="s">
        <v>107</v>
      </c>
      <c r="I85" s="112" t="s">
        <v>191</v>
      </c>
      <c r="J85" s="112" t="s">
        <v>163</v>
      </c>
      <c r="K85" s="114" t="str">
        <f t="shared" si="3"/>
        <v>PE.7R.BFG.GE.SEZ.014.00</v>
      </c>
      <c r="L85" s="115" t="s">
        <v>270</v>
      </c>
      <c r="M85" s="111" t="s">
        <v>231</v>
      </c>
      <c r="N85" s="116"/>
      <c r="O85" s="117"/>
      <c r="P85" s="117"/>
      <c r="Q85" s="118"/>
      <c r="R85" s="118"/>
      <c r="S85" s="118"/>
    </row>
    <row r="86" spans="1:19" ht="20.100000000000001" hidden="1" customHeight="1">
      <c r="A86" s="109">
        <f t="shared" si="1"/>
        <v>83</v>
      </c>
      <c r="B86" s="110" t="s">
        <v>269</v>
      </c>
      <c r="C86" s="111" t="str">
        <f>WBS!$A$2</f>
        <v xml:space="preserve"> </v>
      </c>
      <c r="D86" s="112" t="s">
        <v>35</v>
      </c>
      <c r="E86" s="112" t="s">
        <v>63</v>
      </c>
      <c r="F86" s="112" t="s">
        <v>87</v>
      </c>
      <c r="G86" s="113" t="s">
        <v>22</v>
      </c>
      <c r="H86" s="112" t="s">
        <v>107</v>
      </c>
      <c r="I86" s="112" t="s">
        <v>193</v>
      </c>
      <c r="J86" s="112" t="s">
        <v>163</v>
      </c>
      <c r="K86" s="114" t="str">
        <f t="shared" si="3"/>
        <v>PE.7R.BFG.GE.SEZ.015.00</v>
      </c>
      <c r="L86" s="115" t="s">
        <v>271</v>
      </c>
      <c r="M86" s="111" t="s">
        <v>231</v>
      </c>
      <c r="N86" s="116"/>
      <c r="O86" s="117"/>
      <c r="P86" s="117"/>
      <c r="Q86" s="118"/>
      <c r="R86" s="118"/>
      <c r="S86" s="118"/>
    </row>
    <row r="87" spans="1:19" ht="12" hidden="1" customHeight="1">
      <c r="A87" s="165" t="s">
        <v>272</v>
      </c>
      <c r="B87" s="166"/>
      <c r="C87" s="154"/>
      <c r="D87" s="166"/>
      <c r="E87" s="166"/>
      <c r="F87" s="166"/>
      <c r="G87" s="166"/>
      <c r="H87" s="166"/>
      <c r="I87" s="166"/>
      <c r="J87" s="166"/>
      <c r="K87" s="166"/>
      <c r="L87" s="166"/>
      <c r="M87" s="166"/>
      <c r="N87" s="151"/>
      <c r="O87" s="167"/>
      <c r="P87" s="167"/>
      <c r="Q87" s="157"/>
      <c r="R87" s="157"/>
      <c r="S87" s="168"/>
    </row>
    <row r="88" spans="1:19" ht="20.100000000000001" hidden="1" customHeight="1">
      <c r="A88" s="109">
        <f t="shared" si="1"/>
        <v>85</v>
      </c>
      <c r="B88" s="110" t="s">
        <v>273</v>
      </c>
      <c r="C88" s="111" t="str">
        <f>WBS!$A$2</f>
        <v xml:space="preserve"> </v>
      </c>
      <c r="D88" s="112" t="s">
        <v>35</v>
      </c>
      <c r="E88" s="112" t="s">
        <v>63</v>
      </c>
      <c r="F88" s="112" t="s">
        <v>92</v>
      </c>
      <c r="G88" s="113" t="s">
        <v>127</v>
      </c>
      <c r="H88" s="112" t="s">
        <v>104</v>
      </c>
      <c r="I88" s="112" t="s">
        <v>166</v>
      </c>
      <c r="J88" s="112" t="s">
        <v>163</v>
      </c>
      <c r="K88" s="114" t="str">
        <f t="shared" ref="K88:K104" si="4">CONCATENATE(D88,".",E88,".",F88,".",G88,".",H88,".",I88,".",J88)</f>
        <v>PE.7R.CDEH.PI.PNT.001.00</v>
      </c>
      <c r="L88" s="115" t="s">
        <v>230</v>
      </c>
      <c r="M88" s="111" t="s">
        <v>231</v>
      </c>
      <c r="N88" s="116"/>
      <c r="O88" s="117"/>
      <c r="P88" s="117"/>
      <c r="Q88" s="118"/>
      <c r="R88" s="118"/>
      <c r="S88" s="118"/>
    </row>
    <row r="89" spans="1:19" ht="20.100000000000001" hidden="1" customHeight="1">
      <c r="A89" s="109">
        <f t="shared" si="1"/>
        <v>86</v>
      </c>
      <c r="B89" s="110" t="s">
        <v>273</v>
      </c>
      <c r="C89" s="111" t="str">
        <f>WBS!$A$2</f>
        <v xml:space="preserve"> </v>
      </c>
      <c r="D89" s="112" t="s">
        <v>35</v>
      </c>
      <c r="E89" s="112" t="s">
        <v>63</v>
      </c>
      <c r="F89" s="112" t="s">
        <v>92</v>
      </c>
      <c r="G89" s="113" t="s">
        <v>31</v>
      </c>
      <c r="H89" s="112" t="s">
        <v>104</v>
      </c>
      <c r="I89" s="112" t="s">
        <v>168</v>
      </c>
      <c r="J89" s="112" t="s">
        <v>163</v>
      </c>
      <c r="K89" s="114" t="str">
        <f t="shared" si="4"/>
        <v>PE.7R.CDEH.P0.PNT.002.00</v>
      </c>
      <c r="L89" s="115" t="s">
        <v>274</v>
      </c>
      <c r="M89" s="111" t="s">
        <v>231</v>
      </c>
      <c r="N89" s="116"/>
      <c r="O89" s="117"/>
      <c r="P89" s="117"/>
      <c r="Q89" s="118"/>
      <c r="R89" s="118"/>
      <c r="S89" s="118"/>
    </row>
    <row r="90" spans="1:19" ht="20.100000000000001" hidden="1" customHeight="1">
      <c r="A90" s="109">
        <f t="shared" si="1"/>
        <v>87</v>
      </c>
      <c r="B90" s="110" t="s">
        <v>273</v>
      </c>
      <c r="C90" s="111" t="str">
        <f>WBS!$A$2</f>
        <v xml:space="preserve"> </v>
      </c>
      <c r="D90" s="112" t="s">
        <v>35</v>
      </c>
      <c r="E90" s="112" t="s">
        <v>63</v>
      </c>
      <c r="F90" s="112" t="s">
        <v>92</v>
      </c>
      <c r="G90" s="113" t="s">
        <v>31</v>
      </c>
      <c r="H90" s="112" t="s">
        <v>104</v>
      </c>
      <c r="I90" s="112" t="s">
        <v>170</v>
      </c>
      <c r="J90" s="112" t="s">
        <v>163</v>
      </c>
      <c r="K90" s="114" t="str">
        <f t="shared" si="4"/>
        <v>PE.7R.CDEH.P0.PNT.003.00</v>
      </c>
      <c r="L90" s="115" t="s">
        <v>275</v>
      </c>
      <c r="M90" s="111" t="s">
        <v>231</v>
      </c>
      <c r="N90" s="116"/>
      <c r="O90" s="117"/>
      <c r="P90" s="117"/>
      <c r="Q90" s="118"/>
      <c r="R90" s="118"/>
      <c r="S90" s="118"/>
    </row>
    <row r="91" spans="1:19" ht="20.100000000000001" hidden="1" customHeight="1">
      <c r="A91" s="109">
        <f t="shared" si="1"/>
        <v>88</v>
      </c>
      <c r="B91" s="110" t="s">
        <v>273</v>
      </c>
      <c r="C91" s="111" t="str">
        <f>WBS!$A$2</f>
        <v xml:space="preserve"> </v>
      </c>
      <c r="D91" s="112" t="s">
        <v>35</v>
      </c>
      <c r="E91" s="112" t="s">
        <v>63</v>
      </c>
      <c r="F91" s="112" t="s">
        <v>92</v>
      </c>
      <c r="G91" s="113" t="s">
        <v>134</v>
      </c>
      <c r="H91" s="112" t="s">
        <v>104</v>
      </c>
      <c r="I91" s="112" t="s">
        <v>172</v>
      </c>
      <c r="J91" s="112" t="s">
        <v>163</v>
      </c>
      <c r="K91" s="114" t="str">
        <f t="shared" si="4"/>
        <v>PE.7R.CDEH.PR.PNT.004.00</v>
      </c>
      <c r="L91" s="115" t="s">
        <v>276</v>
      </c>
      <c r="M91" s="111" t="s">
        <v>231</v>
      </c>
      <c r="N91" s="116"/>
      <c r="O91" s="117"/>
      <c r="P91" s="117"/>
      <c r="Q91" s="118"/>
      <c r="R91" s="118"/>
      <c r="S91" s="118"/>
    </row>
    <row r="92" spans="1:19" ht="20.100000000000001" hidden="1" customHeight="1">
      <c r="A92" s="109">
        <f t="shared" si="1"/>
        <v>89</v>
      </c>
      <c r="B92" s="110" t="s">
        <v>273</v>
      </c>
      <c r="C92" s="111" t="str">
        <f>WBS!$A$2</f>
        <v xml:space="preserve"> </v>
      </c>
      <c r="D92" s="112" t="s">
        <v>35</v>
      </c>
      <c r="E92" s="112" t="s">
        <v>63</v>
      </c>
      <c r="F92" s="112" t="s">
        <v>92</v>
      </c>
      <c r="G92" s="113" t="s">
        <v>134</v>
      </c>
      <c r="H92" s="112" t="s">
        <v>104</v>
      </c>
      <c r="I92" s="112" t="s">
        <v>174</v>
      </c>
      <c r="J92" s="112" t="s">
        <v>163</v>
      </c>
      <c r="K92" s="114" t="str">
        <f t="shared" si="4"/>
        <v>PE.7R.CDEH.PR.PNT.005.00</v>
      </c>
      <c r="L92" s="115" t="s">
        <v>277</v>
      </c>
      <c r="M92" s="111" t="s">
        <v>231</v>
      </c>
      <c r="N92" s="116"/>
      <c r="O92" s="117"/>
      <c r="P92" s="117"/>
      <c r="Q92" s="118"/>
      <c r="R92" s="118"/>
      <c r="S92" s="118"/>
    </row>
    <row r="93" spans="1:19" ht="20.100000000000001" hidden="1" customHeight="1">
      <c r="A93" s="109">
        <f t="shared" si="1"/>
        <v>90</v>
      </c>
      <c r="B93" s="110" t="s">
        <v>273</v>
      </c>
      <c r="C93" s="111" t="str">
        <f>WBS!$A$2</f>
        <v xml:space="preserve"> </v>
      </c>
      <c r="D93" s="112" t="s">
        <v>35</v>
      </c>
      <c r="E93" s="112" t="s">
        <v>63</v>
      </c>
      <c r="F93" s="112" t="s">
        <v>92</v>
      </c>
      <c r="G93" s="113" t="s">
        <v>41</v>
      </c>
      <c r="H93" s="112" t="s">
        <v>104</v>
      </c>
      <c r="I93" s="112" t="s">
        <v>176</v>
      </c>
      <c r="J93" s="112" t="s">
        <v>163</v>
      </c>
      <c r="K93" s="114" t="str">
        <f t="shared" si="4"/>
        <v>PE.7R.CDEH.P1.PNT.006.00</v>
      </c>
      <c r="L93" s="115" t="s">
        <v>278</v>
      </c>
      <c r="M93" s="111" t="s">
        <v>231</v>
      </c>
      <c r="N93" s="116"/>
      <c r="O93" s="117"/>
      <c r="P93" s="117"/>
      <c r="Q93" s="118"/>
      <c r="R93" s="118"/>
      <c r="S93" s="118"/>
    </row>
    <row r="94" spans="1:19" ht="20.100000000000001" hidden="1" customHeight="1">
      <c r="A94" s="109">
        <f t="shared" si="1"/>
        <v>91</v>
      </c>
      <c r="B94" s="110" t="s">
        <v>273</v>
      </c>
      <c r="C94" s="111" t="str">
        <f>WBS!$A$2</f>
        <v xml:space="preserve"> </v>
      </c>
      <c r="D94" s="112" t="s">
        <v>35</v>
      </c>
      <c r="E94" s="112" t="s">
        <v>63</v>
      </c>
      <c r="F94" s="112" t="s">
        <v>92</v>
      </c>
      <c r="G94" s="113" t="s">
        <v>41</v>
      </c>
      <c r="H94" s="112" t="s">
        <v>104</v>
      </c>
      <c r="I94" s="112" t="s">
        <v>178</v>
      </c>
      <c r="J94" s="112" t="s">
        <v>163</v>
      </c>
      <c r="K94" s="114" t="str">
        <f t="shared" si="4"/>
        <v>PE.7R.CDEH.P1.PNT.007.00</v>
      </c>
      <c r="L94" s="115" t="s">
        <v>279</v>
      </c>
      <c r="M94" s="111" t="s">
        <v>231</v>
      </c>
      <c r="N94" s="116"/>
      <c r="O94" s="117"/>
      <c r="P94" s="117"/>
      <c r="Q94" s="118"/>
      <c r="R94" s="118"/>
      <c r="S94" s="118"/>
    </row>
    <row r="95" spans="1:19" ht="20.100000000000001" hidden="1" customHeight="1">
      <c r="A95" s="109">
        <f t="shared" si="1"/>
        <v>92</v>
      </c>
      <c r="B95" s="110" t="s">
        <v>273</v>
      </c>
      <c r="C95" s="111" t="str">
        <f>WBS!$A$2</f>
        <v xml:space="preserve"> </v>
      </c>
      <c r="D95" s="112" t="s">
        <v>35</v>
      </c>
      <c r="E95" s="112" t="s">
        <v>63</v>
      </c>
      <c r="F95" s="112" t="s">
        <v>92</v>
      </c>
      <c r="G95" s="113" t="s">
        <v>51</v>
      </c>
      <c r="H95" s="112" t="s">
        <v>104</v>
      </c>
      <c r="I95" s="112" t="s">
        <v>180</v>
      </c>
      <c r="J95" s="112" t="s">
        <v>163</v>
      </c>
      <c r="K95" s="114" t="str">
        <f t="shared" si="4"/>
        <v>PE.7R.CDEH.P2.PNT.008.00</v>
      </c>
      <c r="L95" s="115" t="s">
        <v>280</v>
      </c>
      <c r="M95" s="111" t="s">
        <v>231</v>
      </c>
      <c r="N95" s="116"/>
      <c r="O95" s="117"/>
      <c r="P95" s="117"/>
      <c r="Q95" s="118"/>
      <c r="R95" s="118"/>
      <c r="S95" s="118"/>
    </row>
    <row r="96" spans="1:19" ht="20.100000000000001" hidden="1" customHeight="1">
      <c r="A96" s="109">
        <f t="shared" si="1"/>
        <v>93</v>
      </c>
      <c r="B96" s="110" t="s">
        <v>273</v>
      </c>
      <c r="C96" s="111" t="str">
        <f>WBS!$A$2</f>
        <v xml:space="preserve"> </v>
      </c>
      <c r="D96" s="112" t="s">
        <v>35</v>
      </c>
      <c r="E96" s="112" t="s">
        <v>63</v>
      </c>
      <c r="F96" s="112" t="s">
        <v>92</v>
      </c>
      <c r="G96" s="113" t="s">
        <v>51</v>
      </c>
      <c r="H96" s="112" t="s">
        <v>104</v>
      </c>
      <c r="I96" s="112" t="s">
        <v>182</v>
      </c>
      <c r="J96" s="112" t="s">
        <v>163</v>
      </c>
      <c r="K96" s="114" t="str">
        <f t="shared" si="4"/>
        <v>PE.7R.CDEH.P2.PNT.009.00</v>
      </c>
      <c r="L96" s="115" t="s">
        <v>281</v>
      </c>
      <c r="M96" s="111" t="s">
        <v>231</v>
      </c>
      <c r="N96" s="116"/>
      <c r="O96" s="117"/>
      <c r="P96" s="117"/>
      <c r="Q96" s="118"/>
      <c r="R96" s="118"/>
      <c r="S96" s="118"/>
    </row>
    <row r="97" spans="1:19" ht="20.100000000000001" hidden="1" customHeight="1">
      <c r="A97" s="109">
        <f t="shared" si="1"/>
        <v>94</v>
      </c>
      <c r="B97" s="110" t="s">
        <v>273</v>
      </c>
      <c r="C97" s="111" t="str">
        <f>WBS!$A$2</f>
        <v xml:space="preserve"> </v>
      </c>
      <c r="D97" s="112" t="s">
        <v>35</v>
      </c>
      <c r="E97" s="112" t="s">
        <v>63</v>
      </c>
      <c r="F97" s="112" t="s">
        <v>92</v>
      </c>
      <c r="G97" s="113" t="s">
        <v>59</v>
      </c>
      <c r="H97" s="112" t="s">
        <v>104</v>
      </c>
      <c r="I97" s="112" t="s">
        <v>184</v>
      </c>
      <c r="J97" s="112" t="s">
        <v>163</v>
      </c>
      <c r="K97" s="114" t="str">
        <f t="shared" si="4"/>
        <v>PE.7R.CDEH.P3.PNT.010.00</v>
      </c>
      <c r="L97" s="115" t="s">
        <v>235</v>
      </c>
      <c r="M97" s="111" t="s">
        <v>231</v>
      </c>
      <c r="N97" s="116"/>
      <c r="O97" s="117"/>
      <c r="P97" s="117"/>
      <c r="Q97" s="118"/>
      <c r="R97" s="118"/>
      <c r="S97" s="118"/>
    </row>
    <row r="98" spans="1:19" ht="20.100000000000001" hidden="1" customHeight="1">
      <c r="A98" s="109">
        <f t="shared" si="1"/>
        <v>95</v>
      </c>
      <c r="B98" s="110" t="s">
        <v>273</v>
      </c>
      <c r="C98" s="111" t="str">
        <f>WBS!$A$2</f>
        <v xml:space="preserve"> </v>
      </c>
      <c r="D98" s="112" t="s">
        <v>35</v>
      </c>
      <c r="E98" s="112" t="s">
        <v>63</v>
      </c>
      <c r="F98" s="112" t="s">
        <v>92</v>
      </c>
      <c r="G98" s="113" t="s">
        <v>22</v>
      </c>
      <c r="H98" s="112" t="s">
        <v>110</v>
      </c>
      <c r="I98" s="112" t="s">
        <v>186</v>
      </c>
      <c r="J98" s="112" t="s">
        <v>163</v>
      </c>
      <c r="K98" s="114" t="str">
        <f t="shared" si="4"/>
        <v>PE.7R.CDEH.GE.PRO.011.00</v>
      </c>
      <c r="L98" s="115" t="s">
        <v>257</v>
      </c>
      <c r="M98" s="111" t="s">
        <v>231</v>
      </c>
      <c r="N98" s="116"/>
      <c r="O98" s="117"/>
      <c r="P98" s="117"/>
      <c r="Q98" s="118"/>
      <c r="R98" s="118"/>
      <c r="S98" s="118"/>
    </row>
    <row r="99" spans="1:19" ht="20.100000000000001" hidden="1" customHeight="1">
      <c r="A99" s="109">
        <f t="shared" si="1"/>
        <v>96</v>
      </c>
      <c r="B99" s="110" t="s">
        <v>273</v>
      </c>
      <c r="C99" s="111" t="str">
        <f>WBS!$A$2</f>
        <v xml:space="preserve"> </v>
      </c>
      <c r="D99" s="112" t="s">
        <v>35</v>
      </c>
      <c r="E99" s="112" t="s">
        <v>63</v>
      </c>
      <c r="F99" s="112" t="s">
        <v>92</v>
      </c>
      <c r="G99" s="113" t="s">
        <v>22</v>
      </c>
      <c r="H99" s="112" t="s">
        <v>110</v>
      </c>
      <c r="I99" s="112" t="s">
        <v>187</v>
      </c>
      <c r="J99" s="112" t="s">
        <v>163</v>
      </c>
      <c r="K99" s="114" t="str">
        <f t="shared" si="4"/>
        <v>PE.7R.CDEH.GE.PRO.012.00</v>
      </c>
      <c r="L99" s="115" t="s">
        <v>259</v>
      </c>
      <c r="M99" s="111" t="s">
        <v>231</v>
      </c>
      <c r="N99" s="116"/>
      <c r="O99" s="117"/>
      <c r="P99" s="117"/>
      <c r="Q99" s="118"/>
      <c r="R99" s="118"/>
      <c r="S99" s="118"/>
    </row>
    <row r="100" spans="1:19" ht="20.100000000000001" hidden="1" customHeight="1">
      <c r="A100" s="109">
        <f t="shared" si="1"/>
        <v>97</v>
      </c>
      <c r="B100" s="110" t="s">
        <v>273</v>
      </c>
      <c r="C100" s="111" t="str">
        <f>WBS!$A$2</f>
        <v xml:space="preserve"> </v>
      </c>
      <c r="D100" s="112" t="s">
        <v>35</v>
      </c>
      <c r="E100" s="112" t="s">
        <v>63</v>
      </c>
      <c r="F100" s="112" t="s">
        <v>92</v>
      </c>
      <c r="G100" s="113" t="s">
        <v>22</v>
      </c>
      <c r="H100" s="112" t="s">
        <v>110</v>
      </c>
      <c r="I100" s="112" t="s">
        <v>189</v>
      </c>
      <c r="J100" s="112" t="s">
        <v>163</v>
      </c>
      <c r="K100" s="114" t="str">
        <f t="shared" si="4"/>
        <v>PE.7R.CDEH.GE.PRO.013.00</v>
      </c>
      <c r="L100" s="115" t="s">
        <v>282</v>
      </c>
      <c r="M100" s="111" t="s">
        <v>231</v>
      </c>
      <c r="N100" s="116"/>
      <c r="O100" s="117"/>
      <c r="P100" s="117"/>
      <c r="Q100" s="118"/>
      <c r="R100" s="118"/>
      <c r="S100" s="118"/>
    </row>
    <row r="101" spans="1:19" ht="20.100000000000001" hidden="1" customHeight="1">
      <c r="A101" s="109">
        <f t="shared" si="1"/>
        <v>98</v>
      </c>
      <c r="B101" s="110" t="s">
        <v>273</v>
      </c>
      <c r="C101" s="111" t="str">
        <f>WBS!$A$2</f>
        <v xml:space="preserve"> </v>
      </c>
      <c r="D101" s="112" t="s">
        <v>35</v>
      </c>
      <c r="E101" s="112" t="s">
        <v>63</v>
      </c>
      <c r="F101" s="112" t="s">
        <v>92</v>
      </c>
      <c r="G101" s="113" t="s">
        <v>22</v>
      </c>
      <c r="H101" s="112" t="s">
        <v>110</v>
      </c>
      <c r="I101" s="112" t="s">
        <v>191</v>
      </c>
      <c r="J101" s="112" t="s">
        <v>163</v>
      </c>
      <c r="K101" s="114" t="str">
        <f t="shared" si="4"/>
        <v>PE.7R.CDEH.GE.PRO.014.00</v>
      </c>
      <c r="L101" s="115" t="s">
        <v>283</v>
      </c>
      <c r="M101" s="111" t="s">
        <v>284</v>
      </c>
      <c r="N101" s="116"/>
      <c r="O101" s="117"/>
      <c r="P101" s="117"/>
      <c r="Q101" s="118"/>
      <c r="R101" s="118"/>
      <c r="S101" s="118"/>
    </row>
    <row r="102" spans="1:19" ht="20.100000000000001" hidden="1" customHeight="1">
      <c r="A102" s="109">
        <f t="shared" si="1"/>
        <v>99</v>
      </c>
      <c r="B102" s="110" t="s">
        <v>273</v>
      </c>
      <c r="C102" s="111" t="str">
        <f>WBS!$A$2</f>
        <v xml:space="preserve"> </v>
      </c>
      <c r="D102" s="112" t="s">
        <v>35</v>
      </c>
      <c r="E102" s="112" t="s">
        <v>63</v>
      </c>
      <c r="F102" s="112" t="s">
        <v>92</v>
      </c>
      <c r="G102" s="113" t="s">
        <v>22</v>
      </c>
      <c r="H102" s="112" t="s">
        <v>107</v>
      </c>
      <c r="I102" s="112" t="s">
        <v>193</v>
      </c>
      <c r="J102" s="112" t="s">
        <v>163</v>
      </c>
      <c r="K102" s="114" t="str">
        <f t="shared" si="4"/>
        <v>PE.7R.CDEH.GE.SEZ.015.00</v>
      </c>
      <c r="L102" s="115" t="s">
        <v>263</v>
      </c>
      <c r="M102" s="111" t="s">
        <v>231</v>
      </c>
      <c r="N102" s="116"/>
      <c r="O102" s="117"/>
      <c r="P102" s="117"/>
      <c r="Q102" s="118"/>
      <c r="R102" s="118"/>
      <c r="S102" s="118"/>
    </row>
    <row r="103" spans="1:19" ht="20.100000000000001" hidden="1" customHeight="1">
      <c r="A103" s="109">
        <f t="shared" si="1"/>
        <v>100</v>
      </c>
      <c r="B103" s="110" t="s">
        <v>273</v>
      </c>
      <c r="C103" s="111" t="str">
        <f>WBS!$A$2</f>
        <v xml:space="preserve"> </v>
      </c>
      <c r="D103" s="112" t="s">
        <v>35</v>
      </c>
      <c r="E103" s="112" t="s">
        <v>63</v>
      </c>
      <c r="F103" s="112" t="s">
        <v>92</v>
      </c>
      <c r="G103" s="113" t="s">
        <v>22</v>
      </c>
      <c r="H103" s="112" t="s">
        <v>107</v>
      </c>
      <c r="I103" s="112" t="s">
        <v>195</v>
      </c>
      <c r="J103" s="112" t="s">
        <v>163</v>
      </c>
      <c r="K103" s="114" t="str">
        <f t="shared" si="4"/>
        <v>PE.7R.CDEH.GE.SEZ.016.00</v>
      </c>
      <c r="L103" s="115" t="s">
        <v>270</v>
      </c>
      <c r="M103" s="111" t="s">
        <v>231</v>
      </c>
      <c r="N103" s="116"/>
      <c r="O103" s="117"/>
      <c r="P103" s="117"/>
      <c r="Q103" s="118"/>
      <c r="R103" s="118"/>
      <c r="S103" s="118"/>
    </row>
    <row r="104" spans="1:19" ht="20.100000000000001" hidden="1" customHeight="1">
      <c r="A104" s="109">
        <f t="shared" si="1"/>
        <v>101</v>
      </c>
      <c r="B104" s="110" t="s">
        <v>273</v>
      </c>
      <c r="C104" s="111" t="str">
        <f>WBS!$A$2</f>
        <v xml:space="preserve"> </v>
      </c>
      <c r="D104" s="112" t="s">
        <v>35</v>
      </c>
      <c r="E104" s="112" t="s">
        <v>63</v>
      </c>
      <c r="F104" s="112" t="s">
        <v>92</v>
      </c>
      <c r="G104" s="113" t="s">
        <v>22</v>
      </c>
      <c r="H104" s="112" t="s">
        <v>107</v>
      </c>
      <c r="I104" s="112" t="s">
        <v>246</v>
      </c>
      <c r="J104" s="112" t="s">
        <v>163</v>
      </c>
      <c r="K104" s="114" t="str">
        <f t="shared" si="4"/>
        <v>PE.7R.CDEH.GE.SEZ.017.00</v>
      </c>
      <c r="L104" s="115" t="s">
        <v>271</v>
      </c>
      <c r="M104" s="111" t="s">
        <v>231</v>
      </c>
      <c r="N104" s="116"/>
      <c r="O104" s="117"/>
      <c r="P104" s="117"/>
      <c r="Q104" s="118"/>
      <c r="R104" s="118"/>
      <c r="S104" s="118"/>
    </row>
    <row r="105" spans="1:19" ht="30" customHeight="1">
      <c r="A105" s="161" t="s">
        <v>285</v>
      </c>
      <c r="B105" s="154"/>
      <c r="C105" s="154"/>
      <c r="D105" s="154"/>
      <c r="E105" s="154"/>
      <c r="F105" s="154"/>
      <c r="G105" s="154"/>
      <c r="H105" s="154"/>
      <c r="I105" s="154"/>
      <c r="J105" s="154"/>
      <c r="K105" s="154"/>
      <c r="L105" s="154"/>
      <c r="M105" s="154"/>
      <c r="N105" s="151"/>
      <c r="O105" s="157"/>
      <c r="P105" s="157"/>
      <c r="Q105" s="157"/>
      <c r="R105" s="157"/>
      <c r="S105" s="160"/>
    </row>
    <row r="106" spans="1:19" ht="30" customHeight="1">
      <c r="A106" s="94"/>
      <c r="B106" s="76" t="s">
        <v>285</v>
      </c>
      <c r="C106" s="77" t="s">
        <v>161</v>
      </c>
      <c r="D106" s="77" t="s">
        <v>35</v>
      </c>
      <c r="E106" s="77" t="s">
        <v>27</v>
      </c>
      <c r="F106" s="77" t="s">
        <v>20</v>
      </c>
      <c r="G106" s="77" t="s">
        <v>22</v>
      </c>
      <c r="H106" s="77" t="s">
        <v>101</v>
      </c>
      <c r="I106" s="77" t="s">
        <v>286</v>
      </c>
      <c r="J106" s="77" t="s">
        <v>163</v>
      </c>
      <c r="K106" s="78" t="str">
        <f t="shared" ref="K106:K137" si="5">CONCATENATE(D106,".",E106,".",F106,".",G106,".",H106,".",I106,".",J106)</f>
        <v>PE.1A.GN.GE.PLN.100.00</v>
      </c>
      <c r="L106" s="123" t="s">
        <v>287</v>
      </c>
      <c r="M106" s="124" t="s">
        <v>288</v>
      </c>
      <c r="N106" s="125"/>
      <c r="O106" s="95"/>
      <c r="P106" s="96"/>
      <c r="Q106" s="96"/>
      <c r="R106" s="96"/>
      <c r="S106" s="102"/>
    </row>
    <row r="107" spans="1:19" ht="30" customHeight="1">
      <c r="A107" s="75"/>
      <c r="B107" s="76" t="s">
        <v>285</v>
      </c>
      <c r="C107" s="77" t="s">
        <v>161</v>
      </c>
      <c r="D107" s="77" t="s">
        <v>35</v>
      </c>
      <c r="E107" s="77" t="s">
        <v>27</v>
      </c>
      <c r="F107" s="77" t="s">
        <v>20</v>
      </c>
      <c r="G107" s="77" t="s">
        <v>22</v>
      </c>
      <c r="H107" s="77" t="s">
        <v>101</v>
      </c>
      <c r="I107" s="77" t="s">
        <v>289</v>
      </c>
      <c r="J107" s="77" t="s">
        <v>163</v>
      </c>
      <c r="K107" s="78" t="str">
        <f t="shared" si="5"/>
        <v>PE.1A.GN.GE.PLN.101.00</v>
      </c>
      <c r="L107" s="123" t="s">
        <v>290</v>
      </c>
      <c r="M107" s="124" t="s">
        <v>231</v>
      </c>
      <c r="N107" s="125"/>
      <c r="O107" s="81"/>
      <c r="P107" s="82"/>
      <c r="Q107" s="82"/>
      <c r="R107" s="82"/>
      <c r="S107" s="84"/>
    </row>
    <row r="108" spans="1:19" ht="30" customHeight="1">
      <c r="A108" s="75"/>
      <c r="B108" s="76" t="s">
        <v>285</v>
      </c>
      <c r="C108" s="77" t="s">
        <v>161</v>
      </c>
      <c r="D108" s="77" t="s">
        <v>35</v>
      </c>
      <c r="E108" s="77" t="s">
        <v>27</v>
      </c>
      <c r="F108" s="77" t="s">
        <v>20</v>
      </c>
      <c r="G108" s="77" t="s">
        <v>127</v>
      </c>
      <c r="H108" s="77" t="s">
        <v>104</v>
      </c>
      <c r="I108" s="77" t="s">
        <v>291</v>
      </c>
      <c r="J108" s="77" t="s">
        <v>163</v>
      </c>
      <c r="K108" s="78" t="str">
        <f t="shared" si="5"/>
        <v>PE.1A.GN.PI.PNT.102.00</v>
      </c>
      <c r="L108" s="123" t="s">
        <v>292</v>
      </c>
      <c r="M108" s="124" t="s">
        <v>293</v>
      </c>
      <c r="N108" s="125"/>
      <c r="O108" s="81"/>
      <c r="P108" s="82"/>
      <c r="Q108" s="82"/>
      <c r="R108" s="82"/>
      <c r="S108" s="84"/>
    </row>
    <row r="109" spans="1:19" ht="30" customHeight="1">
      <c r="A109" s="75"/>
      <c r="B109" s="76" t="s">
        <v>285</v>
      </c>
      <c r="C109" s="77" t="s">
        <v>161</v>
      </c>
      <c r="D109" s="77" t="s">
        <v>35</v>
      </c>
      <c r="E109" s="77" t="s">
        <v>27</v>
      </c>
      <c r="F109" s="77" t="s">
        <v>20</v>
      </c>
      <c r="G109" s="77" t="s">
        <v>31</v>
      </c>
      <c r="H109" s="77" t="s">
        <v>104</v>
      </c>
      <c r="I109" s="77" t="s">
        <v>294</v>
      </c>
      <c r="J109" s="77" t="s">
        <v>163</v>
      </c>
      <c r="K109" s="78" t="str">
        <f t="shared" si="5"/>
        <v>PE.1A.GN.P0.PNT.103.00</v>
      </c>
      <c r="L109" s="123" t="s">
        <v>295</v>
      </c>
      <c r="M109" s="124" t="s">
        <v>293</v>
      </c>
      <c r="N109" s="125"/>
      <c r="O109" s="81"/>
      <c r="P109" s="82"/>
      <c r="Q109" s="82"/>
      <c r="R109" s="82"/>
      <c r="S109" s="84"/>
    </row>
    <row r="110" spans="1:19" ht="30" customHeight="1">
      <c r="A110" s="75"/>
      <c r="B110" s="76" t="s">
        <v>285</v>
      </c>
      <c r="C110" s="77" t="s">
        <v>161</v>
      </c>
      <c r="D110" s="77" t="s">
        <v>35</v>
      </c>
      <c r="E110" s="77" t="s">
        <v>27</v>
      </c>
      <c r="F110" s="77" t="s">
        <v>20</v>
      </c>
      <c r="G110" s="77" t="s">
        <v>41</v>
      </c>
      <c r="H110" s="77" t="s">
        <v>104</v>
      </c>
      <c r="I110" s="77" t="s">
        <v>296</v>
      </c>
      <c r="J110" s="77" t="s">
        <v>163</v>
      </c>
      <c r="K110" s="78" t="str">
        <f t="shared" si="5"/>
        <v>PE.1A.GN.P1.PNT.104.00</v>
      </c>
      <c r="L110" s="123" t="s">
        <v>297</v>
      </c>
      <c r="M110" s="124" t="s">
        <v>293</v>
      </c>
      <c r="N110" s="125"/>
      <c r="O110" s="81"/>
      <c r="P110" s="82"/>
      <c r="Q110" s="82"/>
      <c r="R110" s="82"/>
      <c r="S110" s="84"/>
    </row>
    <row r="111" spans="1:19" ht="30" customHeight="1">
      <c r="A111" s="75"/>
      <c r="B111" s="76" t="s">
        <v>285</v>
      </c>
      <c r="C111" s="77" t="s">
        <v>161</v>
      </c>
      <c r="D111" s="77" t="s">
        <v>35</v>
      </c>
      <c r="E111" s="77" t="s">
        <v>27</v>
      </c>
      <c r="F111" s="77" t="s">
        <v>20</v>
      </c>
      <c r="G111" s="77" t="s">
        <v>51</v>
      </c>
      <c r="H111" s="77" t="s">
        <v>104</v>
      </c>
      <c r="I111" s="77" t="s">
        <v>298</v>
      </c>
      <c r="J111" s="77" t="s">
        <v>163</v>
      </c>
      <c r="K111" s="78" t="str">
        <f t="shared" si="5"/>
        <v>PE.1A.GN.P2.PNT.105.00</v>
      </c>
      <c r="L111" s="123" t="s">
        <v>299</v>
      </c>
      <c r="M111" s="124" t="s">
        <v>293</v>
      </c>
      <c r="N111" s="125"/>
      <c r="O111" s="81"/>
      <c r="P111" s="82"/>
      <c r="Q111" s="82"/>
      <c r="R111" s="82"/>
      <c r="S111" s="84"/>
    </row>
    <row r="112" spans="1:19" ht="30" customHeight="1">
      <c r="A112" s="75"/>
      <c r="B112" s="76" t="s">
        <v>285</v>
      </c>
      <c r="C112" s="77" t="s">
        <v>161</v>
      </c>
      <c r="D112" s="77" t="s">
        <v>35</v>
      </c>
      <c r="E112" s="77" t="s">
        <v>27</v>
      </c>
      <c r="F112" s="77" t="s">
        <v>20</v>
      </c>
      <c r="G112" s="77" t="s">
        <v>138</v>
      </c>
      <c r="H112" s="77" t="s">
        <v>104</v>
      </c>
      <c r="I112" s="77" t="s">
        <v>300</v>
      </c>
      <c r="J112" s="77" t="s">
        <v>163</v>
      </c>
      <c r="K112" s="78" t="str">
        <f t="shared" si="5"/>
        <v>PE.1A.GN.PC.PNT.106.00</v>
      </c>
      <c r="L112" s="123" t="s">
        <v>301</v>
      </c>
      <c r="M112" s="124" t="s">
        <v>293</v>
      </c>
      <c r="N112" s="125"/>
      <c r="O112" s="81"/>
      <c r="P112" s="82"/>
      <c r="Q112" s="82"/>
      <c r="R112" s="82"/>
      <c r="S112" s="84"/>
    </row>
    <row r="113" spans="1:19" ht="30" customHeight="1">
      <c r="A113" s="75"/>
      <c r="B113" s="76" t="s">
        <v>285</v>
      </c>
      <c r="C113" s="77" t="s">
        <v>161</v>
      </c>
      <c r="D113" s="77" t="s">
        <v>35</v>
      </c>
      <c r="E113" s="77" t="s">
        <v>27</v>
      </c>
      <c r="F113" s="77" t="s">
        <v>20</v>
      </c>
      <c r="G113" s="77" t="s">
        <v>22</v>
      </c>
      <c r="H113" s="77" t="s">
        <v>107</v>
      </c>
      <c r="I113" s="77" t="s">
        <v>302</v>
      </c>
      <c r="J113" s="77" t="s">
        <v>163</v>
      </c>
      <c r="K113" s="78" t="str">
        <f t="shared" si="5"/>
        <v>PE.1A.GN.GE.SEZ.107.00</v>
      </c>
      <c r="L113" s="123" t="s">
        <v>303</v>
      </c>
      <c r="M113" s="124" t="s">
        <v>293</v>
      </c>
      <c r="N113" s="125"/>
      <c r="O113" s="81"/>
      <c r="P113" s="82"/>
      <c r="Q113" s="82"/>
      <c r="R113" s="82"/>
      <c r="S113" s="84"/>
    </row>
    <row r="114" spans="1:19" ht="30" customHeight="1">
      <c r="A114" s="75"/>
      <c r="B114" s="76" t="s">
        <v>285</v>
      </c>
      <c r="C114" s="77" t="s">
        <v>161</v>
      </c>
      <c r="D114" s="77" t="s">
        <v>35</v>
      </c>
      <c r="E114" s="77" t="s">
        <v>27</v>
      </c>
      <c r="F114" s="77" t="s">
        <v>20</v>
      </c>
      <c r="G114" s="77" t="s">
        <v>22</v>
      </c>
      <c r="H114" s="77" t="s">
        <v>110</v>
      </c>
      <c r="I114" s="77" t="s">
        <v>304</v>
      </c>
      <c r="J114" s="77" t="s">
        <v>163</v>
      </c>
      <c r="K114" s="78" t="str">
        <f t="shared" si="5"/>
        <v>PE.1A.GN.GE.PRO.108.00</v>
      </c>
      <c r="L114" s="123" t="s">
        <v>305</v>
      </c>
      <c r="M114" s="124" t="s">
        <v>293</v>
      </c>
      <c r="N114" s="125"/>
      <c r="O114" s="81"/>
      <c r="P114" s="82"/>
      <c r="Q114" s="82"/>
      <c r="R114" s="82"/>
      <c r="S114" s="84"/>
    </row>
    <row r="115" spans="1:19" ht="30" customHeight="1">
      <c r="A115" s="75"/>
      <c r="B115" s="76" t="s">
        <v>285</v>
      </c>
      <c r="C115" s="77" t="s">
        <v>161</v>
      </c>
      <c r="D115" s="77" t="s">
        <v>35</v>
      </c>
      <c r="E115" s="77" t="s">
        <v>27</v>
      </c>
      <c r="F115" s="77" t="s">
        <v>20</v>
      </c>
      <c r="G115" s="77" t="s">
        <v>22</v>
      </c>
      <c r="H115" s="77" t="s">
        <v>110</v>
      </c>
      <c r="I115" s="77" t="s">
        <v>306</v>
      </c>
      <c r="J115" s="77" t="s">
        <v>163</v>
      </c>
      <c r="K115" s="78" t="str">
        <f t="shared" si="5"/>
        <v>PE.1A.GN.GE.PRO.109.00</v>
      </c>
      <c r="L115" s="123" t="s">
        <v>307</v>
      </c>
      <c r="M115" s="124" t="s">
        <v>293</v>
      </c>
      <c r="N115" s="125"/>
      <c r="O115" s="81"/>
      <c r="P115" s="82"/>
      <c r="Q115" s="82"/>
      <c r="R115" s="82"/>
      <c r="S115" s="84"/>
    </row>
    <row r="116" spans="1:19" ht="30" customHeight="1">
      <c r="A116" s="75"/>
      <c r="B116" s="76" t="s">
        <v>285</v>
      </c>
      <c r="C116" s="77" t="s">
        <v>161</v>
      </c>
      <c r="D116" s="77" t="s">
        <v>35</v>
      </c>
      <c r="E116" s="77" t="s">
        <v>27</v>
      </c>
      <c r="F116" s="77" t="s">
        <v>20</v>
      </c>
      <c r="G116" s="77" t="s">
        <v>127</v>
      </c>
      <c r="H116" s="77" t="s">
        <v>104</v>
      </c>
      <c r="I116" s="77" t="s">
        <v>308</v>
      </c>
      <c r="J116" s="77" t="s">
        <v>163</v>
      </c>
      <c r="K116" s="78" t="str">
        <f t="shared" si="5"/>
        <v>PE.1A.GN.PI.PNT.110.00</v>
      </c>
      <c r="L116" s="123" t="s">
        <v>309</v>
      </c>
      <c r="M116" s="124" t="s">
        <v>293</v>
      </c>
      <c r="N116" s="125"/>
      <c r="O116" s="81"/>
      <c r="P116" s="82"/>
      <c r="Q116" s="82"/>
      <c r="R116" s="82"/>
      <c r="S116" s="84"/>
    </row>
    <row r="117" spans="1:19" ht="30" customHeight="1">
      <c r="A117" s="75"/>
      <c r="B117" s="76" t="s">
        <v>285</v>
      </c>
      <c r="C117" s="77" t="s">
        <v>161</v>
      </c>
      <c r="D117" s="77" t="s">
        <v>35</v>
      </c>
      <c r="E117" s="77" t="s">
        <v>27</v>
      </c>
      <c r="F117" s="77" t="s">
        <v>20</v>
      </c>
      <c r="G117" s="77" t="s">
        <v>31</v>
      </c>
      <c r="H117" s="77" t="s">
        <v>104</v>
      </c>
      <c r="I117" s="77" t="s">
        <v>310</v>
      </c>
      <c r="J117" s="77" t="s">
        <v>163</v>
      </c>
      <c r="K117" s="78" t="str">
        <f t="shared" si="5"/>
        <v>PE.1A.GN.P0.PNT.111.00</v>
      </c>
      <c r="L117" s="123" t="s">
        <v>311</v>
      </c>
      <c r="M117" s="124" t="s">
        <v>293</v>
      </c>
      <c r="N117" s="125"/>
      <c r="O117" s="81"/>
      <c r="P117" s="82"/>
      <c r="Q117" s="82"/>
      <c r="R117" s="82"/>
      <c r="S117" s="84"/>
    </row>
    <row r="118" spans="1:19" ht="30" customHeight="1">
      <c r="A118" s="75"/>
      <c r="B118" s="76" t="s">
        <v>285</v>
      </c>
      <c r="C118" s="77" t="s">
        <v>161</v>
      </c>
      <c r="D118" s="77" t="s">
        <v>35</v>
      </c>
      <c r="E118" s="77" t="s">
        <v>27</v>
      </c>
      <c r="F118" s="77" t="s">
        <v>20</v>
      </c>
      <c r="G118" s="77" t="s">
        <v>41</v>
      </c>
      <c r="H118" s="77" t="s">
        <v>104</v>
      </c>
      <c r="I118" s="77" t="s">
        <v>312</v>
      </c>
      <c r="J118" s="77" t="s">
        <v>163</v>
      </c>
      <c r="K118" s="78" t="str">
        <f t="shared" si="5"/>
        <v>PE.1A.GN.P1.PNT.112.00</v>
      </c>
      <c r="L118" s="123" t="s">
        <v>313</v>
      </c>
      <c r="M118" s="124" t="s">
        <v>293</v>
      </c>
      <c r="N118" s="125"/>
      <c r="O118" s="81"/>
      <c r="P118" s="82"/>
      <c r="Q118" s="82"/>
      <c r="R118" s="82"/>
      <c r="S118" s="84"/>
    </row>
    <row r="119" spans="1:19" ht="30" customHeight="1">
      <c r="A119" s="75"/>
      <c r="B119" s="76" t="s">
        <v>285</v>
      </c>
      <c r="C119" s="77" t="s">
        <v>161</v>
      </c>
      <c r="D119" s="77" t="s">
        <v>35</v>
      </c>
      <c r="E119" s="77" t="s">
        <v>27</v>
      </c>
      <c r="F119" s="77" t="s">
        <v>20</v>
      </c>
      <c r="G119" s="77" t="s">
        <v>51</v>
      </c>
      <c r="H119" s="77" t="s">
        <v>104</v>
      </c>
      <c r="I119" s="77" t="s">
        <v>314</v>
      </c>
      <c r="J119" s="77" t="s">
        <v>163</v>
      </c>
      <c r="K119" s="78" t="str">
        <f t="shared" si="5"/>
        <v>PE.1A.GN.P2.PNT.113.00</v>
      </c>
      <c r="L119" s="123" t="s">
        <v>315</v>
      </c>
      <c r="M119" s="124" t="s">
        <v>293</v>
      </c>
      <c r="N119" s="125"/>
      <c r="O119" s="81"/>
      <c r="P119" s="82"/>
      <c r="Q119" s="82"/>
      <c r="R119" s="82"/>
      <c r="S119" s="84"/>
    </row>
    <row r="120" spans="1:19" ht="30" customHeight="1">
      <c r="A120" s="75"/>
      <c r="B120" s="76" t="s">
        <v>285</v>
      </c>
      <c r="C120" s="77" t="s">
        <v>161</v>
      </c>
      <c r="D120" s="77" t="s">
        <v>35</v>
      </c>
      <c r="E120" s="77" t="s">
        <v>27</v>
      </c>
      <c r="F120" s="77" t="s">
        <v>20</v>
      </c>
      <c r="G120" s="77" t="s">
        <v>138</v>
      </c>
      <c r="H120" s="77" t="s">
        <v>104</v>
      </c>
      <c r="I120" s="77" t="s">
        <v>316</v>
      </c>
      <c r="J120" s="77" t="s">
        <v>163</v>
      </c>
      <c r="K120" s="78" t="str">
        <f t="shared" si="5"/>
        <v>PE.1A.GN.PC.PNT.114.00</v>
      </c>
      <c r="L120" s="123" t="s">
        <v>317</v>
      </c>
      <c r="M120" s="124" t="s">
        <v>293</v>
      </c>
      <c r="N120" s="125"/>
      <c r="O120" s="81"/>
      <c r="P120" s="82"/>
      <c r="Q120" s="82"/>
      <c r="R120" s="82"/>
      <c r="S120" s="84"/>
    </row>
    <row r="121" spans="1:19" ht="30" customHeight="1">
      <c r="A121" s="75"/>
      <c r="B121" s="76" t="s">
        <v>285</v>
      </c>
      <c r="C121" s="77" t="s">
        <v>161</v>
      </c>
      <c r="D121" s="77" t="s">
        <v>35</v>
      </c>
      <c r="E121" s="77" t="s">
        <v>27</v>
      </c>
      <c r="F121" s="77" t="s">
        <v>20</v>
      </c>
      <c r="G121" s="77" t="s">
        <v>22</v>
      </c>
      <c r="H121" s="77" t="s">
        <v>110</v>
      </c>
      <c r="I121" s="77" t="s">
        <v>318</v>
      </c>
      <c r="J121" s="77" t="s">
        <v>163</v>
      </c>
      <c r="K121" s="78" t="str">
        <f t="shared" si="5"/>
        <v>PE.1A.GN.GE.PRO.115.00</v>
      </c>
      <c r="L121" s="123" t="s">
        <v>319</v>
      </c>
      <c r="M121" s="124" t="s">
        <v>293</v>
      </c>
      <c r="N121" s="125"/>
      <c r="O121" s="81"/>
      <c r="P121" s="82"/>
      <c r="Q121" s="82"/>
      <c r="R121" s="82"/>
      <c r="S121" s="84"/>
    </row>
    <row r="122" spans="1:19" ht="30" customHeight="1">
      <c r="A122" s="75"/>
      <c r="B122" s="76" t="s">
        <v>285</v>
      </c>
      <c r="C122" s="77" t="s">
        <v>161</v>
      </c>
      <c r="D122" s="77" t="s">
        <v>35</v>
      </c>
      <c r="E122" s="77" t="s">
        <v>27</v>
      </c>
      <c r="F122" s="77" t="s">
        <v>20</v>
      </c>
      <c r="G122" s="77" t="s">
        <v>22</v>
      </c>
      <c r="H122" s="77" t="s">
        <v>110</v>
      </c>
      <c r="I122" s="77" t="s">
        <v>320</v>
      </c>
      <c r="J122" s="77" t="s">
        <v>163</v>
      </c>
      <c r="K122" s="78" t="str">
        <f t="shared" si="5"/>
        <v>PE.1A.GN.GE.PRO.116.00</v>
      </c>
      <c r="L122" s="123" t="s">
        <v>321</v>
      </c>
      <c r="M122" s="124" t="s">
        <v>293</v>
      </c>
      <c r="N122" s="125"/>
      <c r="O122" s="81"/>
      <c r="P122" s="82"/>
      <c r="Q122" s="82"/>
      <c r="R122" s="82"/>
      <c r="S122" s="84"/>
    </row>
    <row r="123" spans="1:19" ht="30" customHeight="1">
      <c r="A123" s="75"/>
      <c r="B123" s="76" t="s">
        <v>285</v>
      </c>
      <c r="C123" s="77" t="s">
        <v>161</v>
      </c>
      <c r="D123" s="77" t="s">
        <v>35</v>
      </c>
      <c r="E123" s="77" t="s">
        <v>27</v>
      </c>
      <c r="F123" s="77" t="s">
        <v>20</v>
      </c>
      <c r="G123" s="77" t="s">
        <v>22</v>
      </c>
      <c r="H123" s="77" t="s">
        <v>107</v>
      </c>
      <c r="I123" s="77" t="s">
        <v>322</v>
      </c>
      <c r="J123" s="77" t="s">
        <v>163</v>
      </c>
      <c r="K123" s="78" t="str">
        <f t="shared" si="5"/>
        <v>PE.1A.GN.GE.SEZ.117.00</v>
      </c>
      <c r="L123" s="123" t="s">
        <v>323</v>
      </c>
      <c r="M123" s="124" t="s">
        <v>293</v>
      </c>
      <c r="N123" s="125"/>
      <c r="O123" s="81"/>
      <c r="P123" s="82"/>
      <c r="Q123" s="82"/>
      <c r="R123" s="82"/>
      <c r="S123" s="84"/>
    </row>
    <row r="124" spans="1:19" ht="30" customHeight="1">
      <c r="A124" s="75"/>
      <c r="B124" s="76" t="s">
        <v>285</v>
      </c>
      <c r="C124" s="77" t="s">
        <v>161</v>
      </c>
      <c r="D124" s="77" t="s">
        <v>35</v>
      </c>
      <c r="E124" s="77" t="s">
        <v>27</v>
      </c>
      <c r="F124" s="77" t="s">
        <v>20</v>
      </c>
      <c r="G124" s="77" t="s">
        <v>22</v>
      </c>
      <c r="H124" s="77" t="s">
        <v>107</v>
      </c>
      <c r="I124" s="77" t="s">
        <v>324</v>
      </c>
      <c r="J124" s="77" t="s">
        <v>163</v>
      </c>
      <c r="K124" s="78" t="str">
        <f t="shared" si="5"/>
        <v>PE.1A.GN.GE.SEZ.118.00</v>
      </c>
      <c r="L124" s="123" t="s">
        <v>325</v>
      </c>
      <c r="M124" s="124" t="s">
        <v>293</v>
      </c>
      <c r="N124" s="125"/>
      <c r="O124" s="81"/>
      <c r="P124" s="82"/>
      <c r="Q124" s="82"/>
      <c r="R124" s="82"/>
      <c r="S124" s="84"/>
    </row>
    <row r="125" spans="1:19" ht="30" customHeight="1">
      <c r="A125" s="75"/>
      <c r="B125" s="76" t="s">
        <v>285</v>
      </c>
      <c r="C125" s="77" t="s">
        <v>161</v>
      </c>
      <c r="D125" s="77" t="s">
        <v>35</v>
      </c>
      <c r="E125" s="77" t="s">
        <v>27</v>
      </c>
      <c r="F125" s="77" t="s">
        <v>20</v>
      </c>
      <c r="G125" s="77" t="s">
        <v>127</v>
      </c>
      <c r="H125" s="77" t="s">
        <v>104</v>
      </c>
      <c r="I125" s="77" t="s">
        <v>326</v>
      </c>
      <c r="J125" s="77" t="s">
        <v>163</v>
      </c>
      <c r="K125" s="78" t="str">
        <f t="shared" si="5"/>
        <v>PE.1A.GN.PI.PNT.119.00</v>
      </c>
      <c r="L125" s="123" t="s">
        <v>327</v>
      </c>
      <c r="M125" s="124" t="s">
        <v>293</v>
      </c>
      <c r="N125" s="125"/>
      <c r="O125" s="81"/>
      <c r="P125" s="82"/>
      <c r="Q125" s="82"/>
      <c r="R125" s="82"/>
      <c r="S125" s="84"/>
    </row>
    <row r="126" spans="1:19" ht="30" customHeight="1">
      <c r="A126" s="75"/>
      <c r="B126" s="76" t="s">
        <v>285</v>
      </c>
      <c r="C126" s="77" t="s">
        <v>161</v>
      </c>
      <c r="D126" s="77" t="s">
        <v>35</v>
      </c>
      <c r="E126" s="77" t="s">
        <v>27</v>
      </c>
      <c r="F126" s="77" t="s">
        <v>20</v>
      </c>
      <c r="G126" s="77" t="s">
        <v>31</v>
      </c>
      <c r="H126" s="77" t="s">
        <v>104</v>
      </c>
      <c r="I126" s="77" t="s">
        <v>328</v>
      </c>
      <c r="J126" s="77" t="s">
        <v>163</v>
      </c>
      <c r="K126" s="78" t="str">
        <f t="shared" si="5"/>
        <v>PE.1A.GN.P0.PNT.120.00</v>
      </c>
      <c r="L126" s="123" t="s">
        <v>329</v>
      </c>
      <c r="M126" s="124" t="s">
        <v>293</v>
      </c>
      <c r="N126" s="125"/>
      <c r="O126" s="81"/>
      <c r="P126" s="82"/>
      <c r="Q126" s="82"/>
      <c r="R126" s="82"/>
      <c r="S126" s="84"/>
    </row>
    <row r="127" spans="1:19" ht="30" customHeight="1">
      <c r="A127" s="75"/>
      <c r="B127" s="76" t="s">
        <v>285</v>
      </c>
      <c r="C127" s="77" t="s">
        <v>161</v>
      </c>
      <c r="D127" s="77" t="s">
        <v>35</v>
      </c>
      <c r="E127" s="77" t="s">
        <v>27</v>
      </c>
      <c r="F127" s="77" t="s">
        <v>20</v>
      </c>
      <c r="G127" s="77" t="s">
        <v>41</v>
      </c>
      <c r="H127" s="77" t="s">
        <v>104</v>
      </c>
      <c r="I127" s="77" t="s">
        <v>330</v>
      </c>
      <c r="J127" s="77" t="s">
        <v>163</v>
      </c>
      <c r="K127" s="78" t="str">
        <f t="shared" si="5"/>
        <v>PE.1A.GN.P1.PNT.121.00</v>
      </c>
      <c r="L127" s="123" t="s">
        <v>331</v>
      </c>
      <c r="M127" s="124" t="s">
        <v>293</v>
      </c>
      <c r="N127" s="125"/>
      <c r="O127" s="81"/>
      <c r="P127" s="82"/>
      <c r="Q127" s="82"/>
      <c r="R127" s="82"/>
      <c r="S127" s="84"/>
    </row>
    <row r="128" spans="1:19" ht="30" customHeight="1">
      <c r="A128" s="75"/>
      <c r="B128" s="76" t="s">
        <v>285</v>
      </c>
      <c r="C128" s="77" t="s">
        <v>161</v>
      </c>
      <c r="D128" s="77" t="s">
        <v>35</v>
      </c>
      <c r="E128" s="77" t="s">
        <v>27</v>
      </c>
      <c r="F128" s="77" t="s">
        <v>20</v>
      </c>
      <c r="G128" s="77" t="s">
        <v>51</v>
      </c>
      <c r="H128" s="77" t="s">
        <v>104</v>
      </c>
      <c r="I128" s="77" t="s">
        <v>332</v>
      </c>
      <c r="J128" s="77" t="s">
        <v>163</v>
      </c>
      <c r="K128" s="78" t="str">
        <f t="shared" si="5"/>
        <v>PE.1A.GN.P2.PNT.122.00</v>
      </c>
      <c r="L128" s="123" t="s">
        <v>333</v>
      </c>
      <c r="M128" s="124" t="s">
        <v>293</v>
      </c>
      <c r="N128" s="125"/>
      <c r="O128" s="81"/>
      <c r="P128" s="82"/>
      <c r="Q128" s="82"/>
      <c r="R128" s="82"/>
      <c r="S128" s="84"/>
    </row>
    <row r="129" spans="1:19" ht="30" customHeight="1">
      <c r="A129" s="75"/>
      <c r="B129" s="76" t="s">
        <v>285</v>
      </c>
      <c r="C129" s="77" t="s">
        <v>161</v>
      </c>
      <c r="D129" s="77" t="s">
        <v>35</v>
      </c>
      <c r="E129" s="77" t="s">
        <v>27</v>
      </c>
      <c r="F129" s="77" t="s">
        <v>20</v>
      </c>
      <c r="G129" s="77" t="s">
        <v>138</v>
      </c>
      <c r="H129" s="77" t="s">
        <v>104</v>
      </c>
      <c r="I129" s="77" t="s">
        <v>334</v>
      </c>
      <c r="J129" s="77" t="s">
        <v>163</v>
      </c>
      <c r="K129" s="78" t="str">
        <f t="shared" si="5"/>
        <v>PE.1A.GN.PC.PNT.123.00</v>
      </c>
      <c r="L129" s="123" t="s">
        <v>335</v>
      </c>
      <c r="M129" s="124" t="s">
        <v>293</v>
      </c>
      <c r="N129" s="125"/>
      <c r="O129" s="81"/>
      <c r="P129" s="82"/>
      <c r="Q129" s="82"/>
      <c r="R129" s="82"/>
      <c r="S129" s="84"/>
    </row>
    <row r="130" spans="1:19" ht="30" customHeight="1">
      <c r="A130" s="75"/>
      <c r="B130" s="76" t="s">
        <v>285</v>
      </c>
      <c r="C130" s="77" t="s">
        <v>161</v>
      </c>
      <c r="D130" s="77" t="s">
        <v>35</v>
      </c>
      <c r="E130" s="77" t="s">
        <v>27</v>
      </c>
      <c r="F130" s="77" t="s">
        <v>20</v>
      </c>
      <c r="G130" s="77" t="s">
        <v>127</v>
      </c>
      <c r="H130" s="77" t="s">
        <v>104</v>
      </c>
      <c r="I130" s="77" t="s">
        <v>336</v>
      </c>
      <c r="J130" s="77" t="s">
        <v>163</v>
      </c>
      <c r="K130" s="78" t="str">
        <f t="shared" si="5"/>
        <v>PE.1A.GN.PI.PNT.124.00</v>
      </c>
      <c r="L130" s="123" t="s">
        <v>337</v>
      </c>
      <c r="M130" s="124" t="s">
        <v>293</v>
      </c>
      <c r="N130" s="125"/>
      <c r="O130" s="81"/>
      <c r="P130" s="82"/>
      <c r="Q130" s="82"/>
      <c r="R130" s="82"/>
      <c r="S130" s="84"/>
    </row>
    <row r="131" spans="1:19" ht="30" customHeight="1">
      <c r="A131" s="75"/>
      <c r="B131" s="76" t="s">
        <v>285</v>
      </c>
      <c r="C131" s="77" t="s">
        <v>161</v>
      </c>
      <c r="D131" s="77" t="s">
        <v>35</v>
      </c>
      <c r="E131" s="77" t="s">
        <v>27</v>
      </c>
      <c r="F131" s="77" t="s">
        <v>20</v>
      </c>
      <c r="G131" s="77" t="s">
        <v>31</v>
      </c>
      <c r="H131" s="77" t="s">
        <v>104</v>
      </c>
      <c r="I131" s="77" t="s">
        <v>338</v>
      </c>
      <c r="J131" s="77" t="s">
        <v>163</v>
      </c>
      <c r="K131" s="78" t="str">
        <f t="shared" si="5"/>
        <v>PE.1A.GN.P0.PNT.125.00</v>
      </c>
      <c r="L131" s="123" t="s">
        <v>339</v>
      </c>
      <c r="M131" s="124" t="s">
        <v>293</v>
      </c>
      <c r="N131" s="125"/>
      <c r="O131" s="81"/>
      <c r="P131" s="82"/>
      <c r="Q131" s="82"/>
      <c r="R131" s="82"/>
      <c r="S131" s="84"/>
    </row>
    <row r="132" spans="1:19" ht="30" customHeight="1">
      <c r="A132" s="75"/>
      <c r="B132" s="76" t="s">
        <v>285</v>
      </c>
      <c r="C132" s="77" t="s">
        <v>161</v>
      </c>
      <c r="D132" s="77" t="s">
        <v>35</v>
      </c>
      <c r="E132" s="77" t="s">
        <v>27</v>
      </c>
      <c r="F132" s="77" t="s">
        <v>20</v>
      </c>
      <c r="G132" s="77" t="s">
        <v>41</v>
      </c>
      <c r="H132" s="77" t="s">
        <v>104</v>
      </c>
      <c r="I132" s="77" t="s">
        <v>340</v>
      </c>
      <c r="J132" s="77" t="s">
        <v>163</v>
      </c>
      <c r="K132" s="78" t="str">
        <f t="shared" si="5"/>
        <v>PE.1A.GN.P1.PNT.126.00</v>
      </c>
      <c r="L132" s="123" t="s">
        <v>341</v>
      </c>
      <c r="M132" s="124" t="s">
        <v>293</v>
      </c>
      <c r="N132" s="125"/>
      <c r="O132" s="81"/>
      <c r="P132" s="82"/>
      <c r="Q132" s="82"/>
      <c r="R132" s="82"/>
      <c r="S132" s="84"/>
    </row>
    <row r="133" spans="1:19" ht="30" customHeight="1">
      <c r="A133" s="75"/>
      <c r="B133" s="76" t="s">
        <v>285</v>
      </c>
      <c r="C133" s="77" t="s">
        <v>161</v>
      </c>
      <c r="D133" s="77" t="s">
        <v>35</v>
      </c>
      <c r="E133" s="77" t="s">
        <v>27</v>
      </c>
      <c r="F133" s="77" t="s">
        <v>20</v>
      </c>
      <c r="G133" s="77" t="s">
        <v>51</v>
      </c>
      <c r="H133" s="77" t="s">
        <v>104</v>
      </c>
      <c r="I133" s="77" t="s">
        <v>342</v>
      </c>
      <c r="J133" s="77" t="s">
        <v>163</v>
      </c>
      <c r="K133" s="78" t="str">
        <f t="shared" si="5"/>
        <v>PE.1A.GN.P2.PNT.127.00</v>
      </c>
      <c r="L133" s="123" t="s">
        <v>343</v>
      </c>
      <c r="M133" s="124" t="s">
        <v>293</v>
      </c>
      <c r="N133" s="125"/>
      <c r="O133" s="81"/>
      <c r="P133" s="82"/>
      <c r="Q133" s="82"/>
      <c r="R133" s="82"/>
      <c r="S133" s="84"/>
    </row>
    <row r="134" spans="1:19" ht="30" customHeight="1">
      <c r="A134" s="75"/>
      <c r="B134" s="76" t="s">
        <v>285</v>
      </c>
      <c r="C134" s="77" t="s">
        <v>161</v>
      </c>
      <c r="D134" s="77" t="s">
        <v>35</v>
      </c>
      <c r="E134" s="77" t="s">
        <v>27</v>
      </c>
      <c r="F134" s="77" t="s">
        <v>20</v>
      </c>
      <c r="G134" s="77" t="s">
        <v>138</v>
      </c>
      <c r="H134" s="77" t="s">
        <v>104</v>
      </c>
      <c r="I134" s="77" t="s">
        <v>344</v>
      </c>
      <c r="J134" s="77" t="s">
        <v>163</v>
      </c>
      <c r="K134" s="78" t="str">
        <f t="shared" si="5"/>
        <v>PE.1A.GN.PC.PNT.128.00</v>
      </c>
      <c r="L134" s="123" t="s">
        <v>345</v>
      </c>
      <c r="M134" s="124" t="s">
        <v>293</v>
      </c>
      <c r="N134" s="125"/>
      <c r="O134" s="81"/>
      <c r="P134" s="82"/>
      <c r="Q134" s="82"/>
      <c r="R134" s="82"/>
      <c r="S134" s="84"/>
    </row>
    <row r="135" spans="1:19" ht="30" customHeight="1">
      <c r="A135" s="75"/>
      <c r="B135" s="76" t="s">
        <v>285</v>
      </c>
      <c r="C135" s="77" t="s">
        <v>161</v>
      </c>
      <c r="D135" s="77" t="s">
        <v>35</v>
      </c>
      <c r="E135" s="77" t="s">
        <v>27</v>
      </c>
      <c r="F135" s="77" t="s">
        <v>20</v>
      </c>
      <c r="G135" s="77" t="s">
        <v>22</v>
      </c>
      <c r="H135" s="77" t="s">
        <v>110</v>
      </c>
      <c r="I135" s="77" t="s">
        <v>346</v>
      </c>
      <c r="J135" s="77" t="s">
        <v>163</v>
      </c>
      <c r="K135" s="78" t="str">
        <f t="shared" si="5"/>
        <v>PE.1A.GN.GE.PRO.129.00</v>
      </c>
      <c r="L135" s="123" t="s">
        <v>347</v>
      </c>
      <c r="M135" s="124" t="s">
        <v>293</v>
      </c>
      <c r="N135" s="125"/>
      <c r="O135" s="81"/>
      <c r="P135" s="82"/>
      <c r="Q135" s="82"/>
      <c r="R135" s="82"/>
      <c r="S135" s="84"/>
    </row>
    <row r="136" spans="1:19" ht="30" customHeight="1">
      <c r="A136" s="75"/>
      <c r="B136" s="76" t="s">
        <v>285</v>
      </c>
      <c r="C136" s="77" t="s">
        <v>161</v>
      </c>
      <c r="D136" s="77" t="s">
        <v>35</v>
      </c>
      <c r="E136" s="77" t="s">
        <v>27</v>
      </c>
      <c r="F136" s="77" t="s">
        <v>20</v>
      </c>
      <c r="G136" s="77" t="s">
        <v>22</v>
      </c>
      <c r="H136" s="77" t="s">
        <v>110</v>
      </c>
      <c r="I136" s="77" t="s">
        <v>348</v>
      </c>
      <c r="J136" s="77" t="s">
        <v>163</v>
      </c>
      <c r="K136" s="78" t="str">
        <f t="shared" si="5"/>
        <v>PE.1A.GN.GE.PRO.130.00</v>
      </c>
      <c r="L136" s="123" t="s">
        <v>349</v>
      </c>
      <c r="M136" s="124" t="s">
        <v>293</v>
      </c>
      <c r="N136" s="125"/>
      <c r="O136" s="81"/>
      <c r="P136" s="82"/>
      <c r="Q136" s="82"/>
      <c r="R136" s="82"/>
      <c r="S136" s="84"/>
    </row>
    <row r="137" spans="1:19" ht="30" customHeight="1">
      <c r="A137" s="75"/>
      <c r="B137" s="76" t="s">
        <v>285</v>
      </c>
      <c r="C137" s="77" t="s">
        <v>161</v>
      </c>
      <c r="D137" s="77" t="s">
        <v>35</v>
      </c>
      <c r="E137" s="77" t="s">
        <v>27</v>
      </c>
      <c r="F137" s="77" t="s">
        <v>20</v>
      </c>
      <c r="G137" s="77" t="s">
        <v>22</v>
      </c>
      <c r="H137" s="77" t="s">
        <v>107</v>
      </c>
      <c r="I137" s="77" t="s">
        <v>350</v>
      </c>
      <c r="J137" s="77" t="s">
        <v>163</v>
      </c>
      <c r="K137" s="78" t="str">
        <f t="shared" si="5"/>
        <v>PE.1A.GN.GE.SEZ.131.00</v>
      </c>
      <c r="L137" s="123" t="s">
        <v>351</v>
      </c>
      <c r="M137" s="124" t="s">
        <v>293</v>
      </c>
      <c r="N137" s="125"/>
      <c r="O137" s="81"/>
      <c r="P137" s="82"/>
      <c r="Q137" s="82"/>
      <c r="R137" s="82"/>
      <c r="S137" s="84"/>
    </row>
    <row r="138" spans="1:19" ht="30" customHeight="1">
      <c r="A138" s="75"/>
      <c r="B138" s="76" t="s">
        <v>285</v>
      </c>
      <c r="C138" s="77" t="s">
        <v>161</v>
      </c>
      <c r="D138" s="77" t="s">
        <v>35</v>
      </c>
      <c r="E138" s="77" t="s">
        <v>27</v>
      </c>
      <c r="F138" s="77" t="s">
        <v>20</v>
      </c>
      <c r="G138" s="77" t="s">
        <v>22</v>
      </c>
      <c r="H138" s="77" t="s">
        <v>107</v>
      </c>
      <c r="I138" s="77" t="s">
        <v>352</v>
      </c>
      <c r="J138" s="77" t="s">
        <v>163</v>
      </c>
      <c r="K138" s="78" t="str">
        <f t="shared" ref="K138:K155" si="6">CONCATENATE(D138,".",E138,".",F138,".",G138,".",H138,".",I138,".",J138)</f>
        <v>PE.1A.GN.GE.SEZ.132.00</v>
      </c>
      <c r="L138" s="123" t="s">
        <v>353</v>
      </c>
      <c r="M138" s="124" t="s">
        <v>293</v>
      </c>
      <c r="N138" s="125"/>
      <c r="O138" s="81"/>
      <c r="P138" s="82"/>
      <c r="Q138" s="82"/>
      <c r="R138" s="82"/>
      <c r="S138" s="84"/>
    </row>
    <row r="139" spans="1:19" ht="30" customHeight="1">
      <c r="A139" s="75"/>
      <c r="B139" s="76" t="s">
        <v>285</v>
      </c>
      <c r="C139" s="77" t="s">
        <v>161</v>
      </c>
      <c r="D139" s="77" t="s">
        <v>35</v>
      </c>
      <c r="E139" s="77" t="s">
        <v>27</v>
      </c>
      <c r="F139" s="77" t="s">
        <v>20</v>
      </c>
      <c r="G139" s="77" t="s">
        <v>127</v>
      </c>
      <c r="H139" s="77" t="s">
        <v>104</v>
      </c>
      <c r="I139" s="77" t="s">
        <v>354</v>
      </c>
      <c r="J139" s="77" t="s">
        <v>163</v>
      </c>
      <c r="K139" s="78" t="str">
        <f t="shared" si="6"/>
        <v>PE.1A.GN.PI.PNT.133.00</v>
      </c>
      <c r="L139" s="123" t="s">
        <v>355</v>
      </c>
      <c r="M139" s="124" t="s">
        <v>293</v>
      </c>
      <c r="N139" s="125"/>
      <c r="O139" s="81"/>
      <c r="P139" s="82"/>
      <c r="Q139" s="82"/>
      <c r="R139" s="82"/>
      <c r="S139" s="84"/>
    </row>
    <row r="140" spans="1:19" ht="30" customHeight="1">
      <c r="A140" s="75"/>
      <c r="B140" s="76" t="s">
        <v>285</v>
      </c>
      <c r="C140" s="77" t="s">
        <v>161</v>
      </c>
      <c r="D140" s="77" t="s">
        <v>35</v>
      </c>
      <c r="E140" s="77" t="s">
        <v>27</v>
      </c>
      <c r="F140" s="77" t="s">
        <v>20</v>
      </c>
      <c r="G140" s="77" t="s">
        <v>31</v>
      </c>
      <c r="H140" s="77" t="s">
        <v>104</v>
      </c>
      <c r="I140" s="77" t="s">
        <v>356</v>
      </c>
      <c r="J140" s="77" t="s">
        <v>163</v>
      </c>
      <c r="K140" s="78" t="str">
        <f t="shared" si="6"/>
        <v>PE.1A.GN.P0.PNT.134.00</v>
      </c>
      <c r="L140" s="123" t="s">
        <v>357</v>
      </c>
      <c r="M140" s="124" t="s">
        <v>293</v>
      </c>
      <c r="N140" s="125"/>
      <c r="O140" s="81"/>
      <c r="P140" s="82"/>
      <c r="Q140" s="82"/>
      <c r="R140" s="82"/>
      <c r="S140" s="84"/>
    </row>
    <row r="141" spans="1:19" ht="30" customHeight="1">
      <c r="A141" s="75"/>
      <c r="B141" s="76" t="s">
        <v>285</v>
      </c>
      <c r="C141" s="77" t="s">
        <v>161</v>
      </c>
      <c r="D141" s="77" t="s">
        <v>35</v>
      </c>
      <c r="E141" s="77" t="s">
        <v>27</v>
      </c>
      <c r="F141" s="77" t="s">
        <v>20</v>
      </c>
      <c r="G141" s="77" t="s">
        <v>41</v>
      </c>
      <c r="H141" s="77" t="s">
        <v>104</v>
      </c>
      <c r="I141" s="77" t="s">
        <v>358</v>
      </c>
      <c r="J141" s="77" t="s">
        <v>163</v>
      </c>
      <c r="K141" s="78" t="str">
        <f t="shared" si="6"/>
        <v>PE.1A.GN.P1.PNT.135.00</v>
      </c>
      <c r="L141" s="123" t="s">
        <v>359</v>
      </c>
      <c r="M141" s="124" t="s">
        <v>293</v>
      </c>
      <c r="N141" s="125"/>
      <c r="O141" s="81"/>
      <c r="P141" s="82"/>
      <c r="Q141" s="82"/>
      <c r="R141" s="82"/>
      <c r="S141" s="84"/>
    </row>
    <row r="142" spans="1:19" ht="30" customHeight="1">
      <c r="A142" s="75"/>
      <c r="B142" s="76" t="s">
        <v>285</v>
      </c>
      <c r="C142" s="77" t="s">
        <v>161</v>
      </c>
      <c r="D142" s="77" t="s">
        <v>35</v>
      </c>
      <c r="E142" s="77" t="s">
        <v>27</v>
      </c>
      <c r="F142" s="77" t="s">
        <v>20</v>
      </c>
      <c r="G142" s="77" t="s">
        <v>51</v>
      </c>
      <c r="H142" s="77" t="s">
        <v>104</v>
      </c>
      <c r="I142" s="77" t="s">
        <v>360</v>
      </c>
      <c r="J142" s="77" t="s">
        <v>163</v>
      </c>
      <c r="K142" s="78" t="str">
        <f t="shared" si="6"/>
        <v>PE.1A.GN.P2.PNT.136.00</v>
      </c>
      <c r="L142" s="123" t="s">
        <v>361</v>
      </c>
      <c r="M142" s="124" t="s">
        <v>293</v>
      </c>
      <c r="N142" s="125"/>
      <c r="O142" s="81"/>
      <c r="P142" s="82"/>
      <c r="Q142" s="82"/>
      <c r="R142" s="82"/>
      <c r="S142" s="84"/>
    </row>
    <row r="143" spans="1:19" ht="30" customHeight="1">
      <c r="A143" s="75"/>
      <c r="B143" s="76" t="s">
        <v>285</v>
      </c>
      <c r="C143" s="77" t="s">
        <v>161</v>
      </c>
      <c r="D143" s="77" t="s">
        <v>35</v>
      </c>
      <c r="E143" s="77" t="s">
        <v>27</v>
      </c>
      <c r="F143" s="77" t="s">
        <v>20</v>
      </c>
      <c r="G143" s="77" t="s">
        <v>138</v>
      </c>
      <c r="H143" s="77" t="s">
        <v>104</v>
      </c>
      <c r="I143" s="77" t="s">
        <v>362</v>
      </c>
      <c r="J143" s="77" t="s">
        <v>163</v>
      </c>
      <c r="K143" s="78" t="str">
        <f t="shared" si="6"/>
        <v>PE.1A.GN.PC.PNT.137.00</v>
      </c>
      <c r="L143" s="123" t="s">
        <v>363</v>
      </c>
      <c r="M143" s="124" t="s">
        <v>293</v>
      </c>
      <c r="N143" s="125"/>
      <c r="O143" s="81"/>
      <c r="P143" s="82"/>
      <c r="Q143" s="82"/>
      <c r="R143" s="82"/>
      <c r="S143" s="84"/>
    </row>
    <row r="144" spans="1:19" ht="30" customHeight="1">
      <c r="A144" s="75"/>
      <c r="B144" s="76" t="s">
        <v>285</v>
      </c>
      <c r="C144" s="77" t="s">
        <v>161</v>
      </c>
      <c r="D144" s="77" t="s">
        <v>35</v>
      </c>
      <c r="E144" s="77" t="s">
        <v>27</v>
      </c>
      <c r="F144" s="77" t="s">
        <v>20</v>
      </c>
      <c r="G144" s="77" t="s">
        <v>127</v>
      </c>
      <c r="H144" s="77" t="s">
        <v>104</v>
      </c>
      <c r="I144" s="77" t="s">
        <v>364</v>
      </c>
      <c r="J144" s="77" t="s">
        <v>163</v>
      </c>
      <c r="K144" s="78" t="str">
        <f t="shared" si="6"/>
        <v>PE.1A.GN.PI.PNT.138.00</v>
      </c>
      <c r="L144" s="123" t="s">
        <v>365</v>
      </c>
      <c r="M144" s="124" t="s">
        <v>293</v>
      </c>
      <c r="N144" s="125"/>
      <c r="O144" s="81"/>
      <c r="P144" s="82"/>
      <c r="Q144" s="82"/>
      <c r="R144" s="82"/>
      <c r="S144" s="84"/>
    </row>
    <row r="145" spans="1:19" ht="30" customHeight="1">
      <c r="A145" s="75"/>
      <c r="B145" s="76" t="s">
        <v>285</v>
      </c>
      <c r="C145" s="77" t="s">
        <v>161</v>
      </c>
      <c r="D145" s="77" t="s">
        <v>35</v>
      </c>
      <c r="E145" s="77" t="s">
        <v>27</v>
      </c>
      <c r="F145" s="77" t="s">
        <v>20</v>
      </c>
      <c r="G145" s="77" t="s">
        <v>31</v>
      </c>
      <c r="H145" s="77" t="s">
        <v>104</v>
      </c>
      <c r="I145" s="77" t="s">
        <v>366</v>
      </c>
      <c r="J145" s="77" t="s">
        <v>163</v>
      </c>
      <c r="K145" s="78" t="str">
        <f t="shared" si="6"/>
        <v>PE.1A.GN.P0.PNT.139.00</v>
      </c>
      <c r="L145" s="123" t="s">
        <v>367</v>
      </c>
      <c r="M145" s="124" t="s">
        <v>293</v>
      </c>
      <c r="N145" s="125"/>
      <c r="O145" s="81"/>
      <c r="P145" s="82"/>
      <c r="Q145" s="82"/>
      <c r="R145" s="82"/>
      <c r="S145" s="84"/>
    </row>
    <row r="146" spans="1:19" ht="30" customHeight="1">
      <c r="A146" s="75"/>
      <c r="B146" s="76" t="s">
        <v>285</v>
      </c>
      <c r="C146" s="77" t="s">
        <v>161</v>
      </c>
      <c r="D146" s="77" t="s">
        <v>35</v>
      </c>
      <c r="E146" s="77" t="s">
        <v>27</v>
      </c>
      <c r="F146" s="77" t="s">
        <v>20</v>
      </c>
      <c r="G146" s="77" t="s">
        <v>41</v>
      </c>
      <c r="H146" s="77" t="s">
        <v>104</v>
      </c>
      <c r="I146" s="77" t="s">
        <v>368</v>
      </c>
      <c r="J146" s="77" t="s">
        <v>163</v>
      </c>
      <c r="K146" s="78" t="str">
        <f t="shared" si="6"/>
        <v>PE.1A.GN.P1.PNT.140.00</v>
      </c>
      <c r="L146" s="123" t="s">
        <v>369</v>
      </c>
      <c r="M146" s="124" t="s">
        <v>293</v>
      </c>
      <c r="N146" s="125"/>
      <c r="O146" s="81"/>
      <c r="P146" s="82"/>
      <c r="Q146" s="82"/>
      <c r="R146" s="82"/>
      <c r="S146" s="84"/>
    </row>
    <row r="147" spans="1:19" ht="30" customHeight="1">
      <c r="A147" s="75"/>
      <c r="B147" s="76" t="s">
        <v>285</v>
      </c>
      <c r="C147" s="77" t="s">
        <v>161</v>
      </c>
      <c r="D147" s="77" t="s">
        <v>35</v>
      </c>
      <c r="E147" s="77" t="s">
        <v>27</v>
      </c>
      <c r="F147" s="77" t="s">
        <v>20</v>
      </c>
      <c r="G147" s="77" t="s">
        <v>51</v>
      </c>
      <c r="H147" s="77" t="s">
        <v>104</v>
      </c>
      <c r="I147" s="77" t="s">
        <v>370</v>
      </c>
      <c r="J147" s="77" t="s">
        <v>163</v>
      </c>
      <c r="K147" s="78" t="str">
        <f t="shared" si="6"/>
        <v>PE.1A.GN.P2.PNT.141.00</v>
      </c>
      <c r="L147" s="123" t="s">
        <v>371</v>
      </c>
      <c r="M147" s="124" t="s">
        <v>293</v>
      </c>
      <c r="N147" s="125"/>
      <c r="O147" s="81"/>
      <c r="P147" s="82"/>
      <c r="Q147" s="82"/>
      <c r="R147" s="82"/>
      <c r="S147" s="84"/>
    </row>
    <row r="148" spans="1:19" ht="30" customHeight="1">
      <c r="A148" s="75"/>
      <c r="B148" s="76" t="s">
        <v>285</v>
      </c>
      <c r="C148" s="77" t="s">
        <v>161</v>
      </c>
      <c r="D148" s="77" t="s">
        <v>35</v>
      </c>
      <c r="E148" s="77" t="s">
        <v>27</v>
      </c>
      <c r="F148" s="77" t="s">
        <v>20</v>
      </c>
      <c r="G148" s="77" t="s">
        <v>127</v>
      </c>
      <c r="H148" s="77" t="s">
        <v>104</v>
      </c>
      <c r="I148" s="77" t="s">
        <v>372</v>
      </c>
      <c r="J148" s="77" t="s">
        <v>163</v>
      </c>
      <c r="K148" s="78" t="str">
        <f t="shared" si="6"/>
        <v>PE.1A.GN.PI.PNT.142.00</v>
      </c>
      <c r="L148" s="123" t="s">
        <v>373</v>
      </c>
      <c r="M148" s="124" t="s">
        <v>293</v>
      </c>
      <c r="N148" s="125"/>
      <c r="O148" s="81"/>
      <c r="P148" s="82"/>
      <c r="Q148" s="82"/>
      <c r="R148" s="82"/>
      <c r="S148" s="84"/>
    </row>
    <row r="149" spans="1:19" ht="30" customHeight="1">
      <c r="A149" s="75"/>
      <c r="B149" s="76" t="s">
        <v>285</v>
      </c>
      <c r="C149" s="77" t="s">
        <v>161</v>
      </c>
      <c r="D149" s="77" t="s">
        <v>35</v>
      </c>
      <c r="E149" s="77" t="s">
        <v>27</v>
      </c>
      <c r="F149" s="77" t="s">
        <v>20</v>
      </c>
      <c r="G149" s="77" t="s">
        <v>31</v>
      </c>
      <c r="H149" s="77" t="s">
        <v>104</v>
      </c>
      <c r="I149" s="77" t="s">
        <v>374</v>
      </c>
      <c r="J149" s="77" t="s">
        <v>163</v>
      </c>
      <c r="K149" s="78" t="str">
        <f t="shared" si="6"/>
        <v>PE.1A.GN.P0.PNT.143.00</v>
      </c>
      <c r="L149" s="123" t="s">
        <v>375</v>
      </c>
      <c r="M149" s="124" t="s">
        <v>293</v>
      </c>
      <c r="N149" s="125"/>
      <c r="O149" s="81"/>
      <c r="P149" s="82"/>
      <c r="Q149" s="82"/>
      <c r="R149" s="82"/>
      <c r="S149" s="84"/>
    </row>
    <row r="150" spans="1:19" ht="30" customHeight="1">
      <c r="A150" s="75"/>
      <c r="B150" s="76" t="s">
        <v>285</v>
      </c>
      <c r="C150" s="77" t="s">
        <v>161</v>
      </c>
      <c r="D150" s="77" t="s">
        <v>35</v>
      </c>
      <c r="E150" s="77" t="s">
        <v>27</v>
      </c>
      <c r="F150" s="77" t="s">
        <v>20</v>
      </c>
      <c r="G150" s="77" t="s">
        <v>41</v>
      </c>
      <c r="H150" s="77" t="s">
        <v>104</v>
      </c>
      <c r="I150" s="77" t="s">
        <v>376</v>
      </c>
      <c r="J150" s="77" t="s">
        <v>163</v>
      </c>
      <c r="K150" s="78" t="str">
        <f t="shared" si="6"/>
        <v>PE.1A.GN.P1.PNT.144.00</v>
      </c>
      <c r="L150" s="123" t="s">
        <v>377</v>
      </c>
      <c r="M150" s="124" t="s">
        <v>293</v>
      </c>
      <c r="N150" s="125"/>
      <c r="O150" s="81"/>
      <c r="P150" s="82"/>
      <c r="Q150" s="82"/>
      <c r="R150" s="82"/>
      <c r="S150" s="84"/>
    </row>
    <row r="151" spans="1:19" ht="30" customHeight="1">
      <c r="A151" s="75"/>
      <c r="B151" s="76" t="s">
        <v>285</v>
      </c>
      <c r="C151" s="77" t="s">
        <v>161</v>
      </c>
      <c r="D151" s="77" t="s">
        <v>35</v>
      </c>
      <c r="E151" s="77" t="s">
        <v>27</v>
      </c>
      <c r="F151" s="77" t="s">
        <v>20</v>
      </c>
      <c r="G151" s="77" t="s">
        <v>51</v>
      </c>
      <c r="H151" s="77" t="s">
        <v>104</v>
      </c>
      <c r="I151" s="77" t="s">
        <v>378</v>
      </c>
      <c r="J151" s="77" t="s">
        <v>163</v>
      </c>
      <c r="K151" s="78" t="str">
        <f t="shared" si="6"/>
        <v>PE.1A.GN.P2.PNT.145.00</v>
      </c>
      <c r="L151" s="123" t="s">
        <v>379</v>
      </c>
      <c r="M151" s="124" t="s">
        <v>293</v>
      </c>
      <c r="N151" s="125"/>
      <c r="O151" s="81"/>
      <c r="P151" s="82"/>
      <c r="Q151" s="82"/>
      <c r="R151" s="82"/>
      <c r="S151" s="84"/>
    </row>
    <row r="152" spans="1:19" ht="30" customHeight="1">
      <c r="A152" s="75"/>
      <c r="B152" s="76" t="s">
        <v>285</v>
      </c>
      <c r="C152" s="77" t="s">
        <v>161</v>
      </c>
      <c r="D152" s="77" t="s">
        <v>35</v>
      </c>
      <c r="E152" s="77" t="s">
        <v>27</v>
      </c>
      <c r="F152" s="77" t="s">
        <v>20</v>
      </c>
      <c r="G152" s="77" t="s">
        <v>31</v>
      </c>
      <c r="H152" s="77" t="s">
        <v>113</v>
      </c>
      <c r="I152" s="77" t="s">
        <v>380</v>
      </c>
      <c r="J152" s="77" t="s">
        <v>163</v>
      </c>
      <c r="K152" s="78" t="str">
        <f t="shared" si="6"/>
        <v>PE.1A.GN.P0.ABA.146.00</v>
      </c>
      <c r="L152" s="123" t="s">
        <v>381</v>
      </c>
      <c r="M152" s="124" t="s">
        <v>382</v>
      </c>
      <c r="N152" s="125"/>
      <c r="O152" s="81"/>
      <c r="P152" s="82"/>
      <c r="Q152" s="82"/>
      <c r="R152" s="82"/>
      <c r="S152" s="84"/>
    </row>
    <row r="153" spans="1:19" ht="30" customHeight="1">
      <c r="A153" s="75"/>
      <c r="B153" s="76" t="s">
        <v>285</v>
      </c>
      <c r="C153" s="77" t="s">
        <v>161</v>
      </c>
      <c r="D153" s="77" t="s">
        <v>35</v>
      </c>
      <c r="E153" s="77" t="s">
        <v>27</v>
      </c>
      <c r="F153" s="77" t="s">
        <v>20</v>
      </c>
      <c r="G153" s="77" t="s">
        <v>31</v>
      </c>
      <c r="H153" s="77" t="s">
        <v>113</v>
      </c>
      <c r="I153" s="77" t="s">
        <v>383</v>
      </c>
      <c r="J153" s="77" t="s">
        <v>163</v>
      </c>
      <c r="K153" s="78" t="str">
        <f t="shared" si="6"/>
        <v>PE.1A.GN.P0.ABA.147.00</v>
      </c>
      <c r="L153" s="123" t="s">
        <v>384</v>
      </c>
      <c r="M153" s="124" t="s">
        <v>382</v>
      </c>
      <c r="N153" s="125"/>
      <c r="O153" s="81"/>
      <c r="P153" s="82"/>
      <c r="Q153" s="82"/>
      <c r="R153" s="82"/>
      <c r="S153" s="84"/>
    </row>
    <row r="154" spans="1:19" ht="30" customHeight="1">
      <c r="A154" s="75"/>
      <c r="B154" s="76" t="s">
        <v>285</v>
      </c>
      <c r="C154" s="77" t="s">
        <v>161</v>
      </c>
      <c r="D154" s="77" t="s">
        <v>35</v>
      </c>
      <c r="E154" s="77" t="s">
        <v>27</v>
      </c>
      <c r="F154" s="77" t="s">
        <v>20</v>
      </c>
      <c r="G154" s="77" t="s">
        <v>22</v>
      </c>
      <c r="H154" s="77" t="s">
        <v>104</v>
      </c>
      <c r="I154" s="77" t="s">
        <v>385</v>
      </c>
      <c r="J154" s="77" t="s">
        <v>163</v>
      </c>
      <c r="K154" s="78" t="str">
        <f t="shared" si="6"/>
        <v>PE.1A.GN.GE.PNT.148.00</v>
      </c>
      <c r="L154" s="123" t="s">
        <v>386</v>
      </c>
      <c r="M154" s="124" t="s">
        <v>382</v>
      </c>
      <c r="N154" s="125"/>
      <c r="O154" s="81"/>
      <c r="P154" s="82"/>
      <c r="Q154" s="82"/>
      <c r="R154" s="82"/>
      <c r="S154" s="84"/>
    </row>
    <row r="155" spans="1:19" ht="30" customHeight="1">
      <c r="A155" s="98"/>
      <c r="B155" s="76" t="s">
        <v>285</v>
      </c>
      <c r="C155" s="77" t="s">
        <v>161</v>
      </c>
      <c r="D155" s="77" t="s">
        <v>35</v>
      </c>
      <c r="E155" s="77" t="s">
        <v>27</v>
      </c>
      <c r="F155" s="77" t="s">
        <v>20</v>
      </c>
      <c r="G155" s="77" t="s">
        <v>138</v>
      </c>
      <c r="H155" s="77" t="s">
        <v>104</v>
      </c>
      <c r="I155" s="77" t="s">
        <v>387</v>
      </c>
      <c r="J155" s="77" t="s">
        <v>163</v>
      </c>
      <c r="K155" s="78" t="str">
        <f t="shared" si="6"/>
        <v>PE.1A.GN.PC.PNT.149.00</v>
      </c>
      <c r="L155" s="123" t="s">
        <v>388</v>
      </c>
      <c r="M155" s="124" t="s">
        <v>382</v>
      </c>
      <c r="N155" s="125"/>
      <c r="O155" s="99"/>
      <c r="P155" s="100"/>
      <c r="Q155" s="100"/>
      <c r="R155" s="100"/>
      <c r="S155" s="101"/>
    </row>
    <row r="156" spans="1:19" ht="30" customHeight="1">
      <c r="A156" s="153" t="s">
        <v>389</v>
      </c>
      <c r="B156" s="154"/>
      <c r="C156" s="154"/>
      <c r="D156" s="154"/>
      <c r="E156" s="154"/>
      <c r="F156" s="154"/>
      <c r="G156" s="154"/>
      <c r="H156" s="154"/>
      <c r="I156" s="154"/>
      <c r="J156" s="154"/>
      <c r="K156" s="154"/>
      <c r="L156" s="154"/>
      <c r="M156" s="154"/>
      <c r="N156" s="159"/>
      <c r="O156" s="157"/>
      <c r="P156" s="157"/>
      <c r="Q156" s="157"/>
      <c r="R156" s="157"/>
      <c r="S156" s="160"/>
    </row>
    <row r="157" spans="1:19" ht="30" customHeight="1">
      <c r="A157" s="94"/>
      <c r="B157" s="76" t="s">
        <v>389</v>
      </c>
      <c r="C157" s="77" t="s">
        <v>161</v>
      </c>
      <c r="D157" s="77" t="s">
        <v>35</v>
      </c>
      <c r="E157" s="77" t="s">
        <v>37</v>
      </c>
      <c r="F157" s="77" t="s">
        <v>20</v>
      </c>
      <c r="G157" s="77" t="s">
        <v>22</v>
      </c>
      <c r="H157" s="77" t="s">
        <v>23</v>
      </c>
      <c r="I157" s="77" t="s">
        <v>203</v>
      </c>
      <c r="J157" s="77" t="s">
        <v>163</v>
      </c>
      <c r="K157" s="78" t="str">
        <f>CONCATENATE(D157,".",E157,".",F157,".",G157,".",H157,".",I157,".",J157)</f>
        <v>PE.2S.GN.GE.ELB.200.00</v>
      </c>
      <c r="L157" s="79"/>
      <c r="M157" s="76" t="s">
        <v>293</v>
      </c>
      <c r="N157" s="77"/>
      <c r="O157" s="126"/>
      <c r="P157" s="96"/>
      <c r="Q157" s="96"/>
      <c r="R157" s="96"/>
      <c r="S157" s="102"/>
    </row>
    <row r="158" spans="1:19" ht="30" customHeight="1">
      <c r="A158" s="75"/>
      <c r="B158" s="76" t="s">
        <v>389</v>
      </c>
      <c r="C158" s="77" t="s">
        <v>161</v>
      </c>
      <c r="D158" s="77" t="s">
        <v>35</v>
      </c>
      <c r="E158" s="77" t="s">
        <v>18</v>
      </c>
      <c r="F158" s="77" t="s">
        <v>20</v>
      </c>
      <c r="G158" s="77" t="s">
        <v>22</v>
      </c>
      <c r="H158" s="77" t="s">
        <v>23</v>
      </c>
      <c r="I158" s="77" t="s">
        <v>205</v>
      </c>
      <c r="J158" s="77"/>
      <c r="K158" s="78" t="str">
        <f>CONCATENATE(D158,".",E158,".",F158,".",G158,".",H158,".",I158,".",J158)</f>
        <v>PE.0G.GN.GE.ELB.201.</v>
      </c>
      <c r="L158" s="79"/>
      <c r="M158" s="76"/>
      <c r="N158" s="77"/>
      <c r="O158" s="127"/>
      <c r="P158" s="82"/>
      <c r="Q158" s="82"/>
      <c r="R158" s="82"/>
      <c r="S158" s="84"/>
    </row>
    <row r="159" spans="1:19" ht="30" customHeight="1">
      <c r="A159" s="75"/>
      <c r="B159" s="76" t="s">
        <v>389</v>
      </c>
      <c r="C159" s="77" t="s">
        <v>161</v>
      </c>
      <c r="D159" s="77" t="s">
        <v>35</v>
      </c>
      <c r="E159" s="77" t="s">
        <v>18</v>
      </c>
      <c r="F159" s="77" t="s">
        <v>20</v>
      </c>
      <c r="G159" s="77" t="s">
        <v>22</v>
      </c>
      <c r="H159" s="77" t="s">
        <v>23</v>
      </c>
      <c r="I159" s="77" t="s">
        <v>208</v>
      </c>
      <c r="J159" s="77"/>
      <c r="K159" s="78" t="str">
        <f>CONCATENATE(D159,".",E159,".",F159,".",G159,".",H159,".",I159,".",J159)</f>
        <v>PE.0G.GN.GE.ELB.202.</v>
      </c>
      <c r="L159" s="79"/>
      <c r="M159" s="76"/>
      <c r="N159" s="77"/>
      <c r="O159" s="127"/>
      <c r="P159" s="82"/>
      <c r="Q159" s="82"/>
      <c r="R159" s="82"/>
      <c r="S159" s="84"/>
    </row>
    <row r="160" spans="1:19" ht="30" customHeight="1">
      <c r="A160" s="98"/>
      <c r="B160" s="76" t="s">
        <v>389</v>
      </c>
      <c r="C160" s="77" t="s">
        <v>161</v>
      </c>
      <c r="D160" s="77" t="s">
        <v>35</v>
      </c>
      <c r="E160" s="77" t="s">
        <v>18</v>
      </c>
      <c r="F160" s="77" t="s">
        <v>20</v>
      </c>
      <c r="G160" s="77" t="s">
        <v>22</v>
      </c>
      <c r="H160" s="77" t="s">
        <v>23</v>
      </c>
      <c r="I160" s="77" t="s">
        <v>211</v>
      </c>
      <c r="J160" s="77"/>
      <c r="K160" s="78" t="str">
        <f>CONCATENATE(D160,".",E160,".",F160,".",G160,".",H160,".",I160,".",J160)</f>
        <v>PE.0G.GN.GE.ELB.203.</v>
      </c>
      <c r="L160" s="79"/>
      <c r="M160" s="76"/>
      <c r="N160" s="77"/>
      <c r="O160" s="128"/>
      <c r="P160" s="100"/>
      <c r="Q160" s="100"/>
      <c r="R160" s="100"/>
      <c r="S160" s="101"/>
    </row>
    <row r="161" spans="1:19" ht="30" customHeight="1">
      <c r="A161" s="153" t="s">
        <v>390</v>
      </c>
      <c r="B161" s="154"/>
      <c r="C161" s="154"/>
      <c r="D161" s="154"/>
      <c r="E161" s="154"/>
      <c r="F161" s="154"/>
      <c r="G161" s="154"/>
      <c r="H161" s="154"/>
      <c r="I161" s="154"/>
      <c r="J161" s="154"/>
      <c r="K161" s="154"/>
      <c r="L161" s="154"/>
      <c r="M161" s="154"/>
      <c r="N161" s="169"/>
      <c r="O161" s="157"/>
      <c r="P161" s="157"/>
      <c r="Q161" s="157"/>
      <c r="R161" s="157"/>
      <c r="S161" s="160"/>
    </row>
    <row r="162" spans="1:19" ht="30" customHeight="1">
      <c r="A162" s="94"/>
      <c r="B162" s="76" t="s">
        <v>391</v>
      </c>
      <c r="C162" s="77" t="s">
        <v>161</v>
      </c>
      <c r="D162" s="77" t="s">
        <v>35</v>
      </c>
      <c r="E162" s="77" t="s">
        <v>47</v>
      </c>
      <c r="F162" s="77" t="s">
        <v>20</v>
      </c>
      <c r="G162" s="77" t="s">
        <v>22</v>
      </c>
      <c r="H162" s="77" t="s">
        <v>23</v>
      </c>
      <c r="I162" s="77" t="s">
        <v>392</v>
      </c>
      <c r="J162" s="77" t="s">
        <v>163</v>
      </c>
      <c r="K162" s="78" t="str">
        <f t="shared" ref="K162:K168" si="7">CONCATENATE(D162,".",E162,".",F162,".",G162,".",H162,".",I162,".",J162)</f>
        <v>PE.3I.GN.GE.ELB.300.00</v>
      </c>
      <c r="L162" s="79"/>
      <c r="M162" s="76" t="s">
        <v>165</v>
      </c>
      <c r="N162" s="80"/>
      <c r="O162" s="95"/>
      <c r="P162" s="96"/>
      <c r="Q162" s="96"/>
      <c r="R162" s="96"/>
      <c r="S162" s="102"/>
    </row>
    <row r="163" spans="1:19" ht="30" customHeight="1">
      <c r="A163" s="75"/>
      <c r="B163" s="76" t="s">
        <v>391</v>
      </c>
      <c r="C163" s="77" t="s">
        <v>161</v>
      </c>
      <c r="D163" s="77" t="s">
        <v>35</v>
      </c>
      <c r="E163" s="77" t="s">
        <v>47</v>
      </c>
      <c r="F163" s="77" t="s">
        <v>20</v>
      </c>
      <c r="G163" s="77" t="s">
        <v>31</v>
      </c>
      <c r="H163" s="77" t="s">
        <v>104</v>
      </c>
      <c r="I163" s="77" t="s">
        <v>393</v>
      </c>
      <c r="J163" s="77" t="s">
        <v>163</v>
      </c>
      <c r="K163" s="78" t="str">
        <f t="shared" si="7"/>
        <v>PE.3I.GN.P0.PNT.301.00</v>
      </c>
      <c r="L163" s="79"/>
      <c r="M163" s="76" t="s">
        <v>293</v>
      </c>
      <c r="N163" s="80"/>
      <c r="O163" s="81"/>
      <c r="P163" s="82"/>
      <c r="Q163" s="82"/>
      <c r="R163" s="82"/>
      <c r="S163" s="84"/>
    </row>
    <row r="164" spans="1:19" ht="30" customHeight="1">
      <c r="A164" s="75"/>
      <c r="B164" s="76" t="s">
        <v>391</v>
      </c>
      <c r="C164" s="77" t="s">
        <v>161</v>
      </c>
      <c r="D164" s="77" t="s">
        <v>35</v>
      </c>
      <c r="E164" s="77" t="s">
        <v>47</v>
      </c>
      <c r="F164" s="77" t="s">
        <v>20</v>
      </c>
      <c r="G164" s="77" t="s">
        <v>31</v>
      </c>
      <c r="H164" s="77" t="s">
        <v>104</v>
      </c>
      <c r="I164" s="77" t="s">
        <v>394</v>
      </c>
      <c r="J164" s="77" t="s">
        <v>163</v>
      </c>
      <c r="K164" s="78" t="str">
        <f t="shared" si="7"/>
        <v>PE.3I.GN.P0.PNT.302.00</v>
      </c>
      <c r="L164" s="79"/>
      <c r="M164" s="76" t="s">
        <v>293</v>
      </c>
      <c r="N164" s="80"/>
      <c r="O164" s="81"/>
      <c r="P164" s="82"/>
      <c r="Q164" s="82"/>
      <c r="R164" s="82"/>
      <c r="S164" s="84"/>
    </row>
    <row r="165" spans="1:19" ht="30" customHeight="1">
      <c r="A165" s="75"/>
      <c r="B165" s="76" t="s">
        <v>391</v>
      </c>
      <c r="C165" s="77" t="s">
        <v>161</v>
      </c>
      <c r="D165" s="77" t="s">
        <v>35</v>
      </c>
      <c r="E165" s="77" t="s">
        <v>47</v>
      </c>
      <c r="F165" s="77" t="s">
        <v>20</v>
      </c>
      <c r="G165" s="77" t="s">
        <v>31</v>
      </c>
      <c r="H165" s="77" t="s">
        <v>104</v>
      </c>
      <c r="I165" s="77" t="s">
        <v>395</v>
      </c>
      <c r="J165" s="77" t="s">
        <v>163</v>
      </c>
      <c r="K165" s="78" t="str">
        <f t="shared" si="7"/>
        <v>PE.3I.GN.P0.PNT.303.00</v>
      </c>
      <c r="L165" s="79"/>
      <c r="M165" s="76" t="s">
        <v>293</v>
      </c>
      <c r="N165" s="80"/>
      <c r="O165" s="81"/>
      <c r="P165" s="82"/>
      <c r="Q165" s="82"/>
      <c r="R165" s="82"/>
      <c r="S165" s="84"/>
    </row>
    <row r="166" spans="1:19" ht="30" customHeight="1">
      <c r="A166" s="75"/>
      <c r="B166" s="76" t="s">
        <v>391</v>
      </c>
      <c r="C166" s="77" t="s">
        <v>161</v>
      </c>
      <c r="D166" s="77" t="s">
        <v>35</v>
      </c>
      <c r="E166" s="77" t="s">
        <v>47</v>
      </c>
      <c r="F166" s="77" t="s">
        <v>20</v>
      </c>
      <c r="G166" s="77" t="s">
        <v>31</v>
      </c>
      <c r="H166" s="77" t="s">
        <v>104</v>
      </c>
      <c r="I166" s="77" t="s">
        <v>396</v>
      </c>
      <c r="J166" s="77" t="s">
        <v>163</v>
      </c>
      <c r="K166" s="78" t="str">
        <f t="shared" si="7"/>
        <v>PE.3I.GN.P0.PNT.304.00</v>
      </c>
      <c r="L166" s="79"/>
      <c r="M166" s="76" t="s">
        <v>293</v>
      </c>
      <c r="N166" s="80"/>
      <c r="O166" s="81"/>
      <c r="P166" s="82"/>
      <c r="Q166" s="82"/>
      <c r="R166" s="82"/>
      <c r="S166" s="84"/>
    </row>
    <row r="167" spans="1:19" ht="30" customHeight="1">
      <c r="A167" s="75"/>
      <c r="B167" s="76" t="s">
        <v>391</v>
      </c>
      <c r="C167" s="77" t="s">
        <v>161</v>
      </c>
      <c r="D167" s="77" t="s">
        <v>35</v>
      </c>
      <c r="E167" s="77" t="s">
        <v>47</v>
      </c>
      <c r="F167" s="77" t="s">
        <v>20</v>
      </c>
      <c r="G167" s="77" t="s">
        <v>138</v>
      </c>
      <c r="H167" s="77" t="s">
        <v>104</v>
      </c>
      <c r="I167" s="77" t="s">
        <v>397</v>
      </c>
      <c r="J167" s="77" t="s">
        <v>163</v>
      </c>
      <c r="K167" s="78" t="str">
        <f t="shared" si="7"/>
        <v>PE.3I.GN.PC.PNT.305.00</v>
      </c>
      <c r="L167" s="79"/>
      <c r="M167" s="76" t="s">
        <v>293</v>
      </c>
      <c r="N167" s="80"/>
      <c r="O167" s="81"/>
      <c r="P167" s="82"/>
      <c r="Q167" s="82"/>
      <c r="R167" s="82"/>
      <c r="S167" s="84"/>
    </row>
    <row r="168" spans="1:19" ht="30" customHeight="1">
      <c r="A168" s="98"/>
      <c r="B168" s="76" t="s">
        <v>391</v>
      </c>
      <c r="C168" s="77" t="s">
        <v>161</v>
      </c>
      <c r="D168" s="77" t="s">
        <v>35</v>
      </c>
      <c r="E168" s="77" t="s">
        <v>47</v>
      </c>
      <c r="F168" s="77" t="s">
        <v>20</v>
      </c>
      <c r="G168" s="77" t="s">
        <v>22</v>
      </c>
      <c r="H168" s="77" t="s">
        <v>23</v>
      </c>
      <c r="I168" s="77" t="s">
        <v>398</v>
      </c>
      <c r="J168" s="77" t="s">
        <v>163</v>
      </c>
      <c r="K168" s="78" t="str">
        <f t="shared" si="7"/>
        <v>PE.3I.GN.GE.ELB.306.00</v>
      </c>
      <c r="L168" s="79"/>
      <c r="M168" s="76" t="s">
        <v>165</v>
      </c>
      <c r="N168" s="80"/>
      <c r="O168" s="99"/>
      <c r="P168" s="100"/>
      <c r="Q168" s="100"/>
      <c r="R168" s="100"/>
      <c r="S168" s="101"/>
    </row>
    <row r="169" spans="1:19" ht="30" customHeight="1">
      <c r="A169" s="153" t="s">
        <v>399</v>
      </c>
      <c r="B169" s="154"/>
      <c r="C169" s="154"/>
      <c r="D169" s="154"/>
      <c r="E169" s="154"/>
      <c r="F169" s="154"/>
      <c r="G169" s="155"/>
      <c r="H169" s="154"/>
      <c r="I169" s="154"/>
      <c r="J169" s="155"/>
      <c r="K169" s="154"/>
      <c r="L169" s="155"/>
      <c r="M169" s="155"/>
      <c r="N169" s="151"/>
      <c r="O169" s="156"/>
      <c r="P169" s="156"/>
      <c r="Q169" s="157"/>
      <c r="R169" s="157"/>
      <c r="S169" s="158"/>
    </row>
    <row r="170" spans="1:19" ht="30" customHeight="1">
      <c r="A170" s="94"/>
      <c r="B170" s="76" t="s">
        <v>400</v>
      </c>
      <c r="C170" s="77" t="s">
        <v>161</v>
      </c>
      <c r="D170" s="77" t="s">
        <v>35</v>
      </c>
      <c r="E170" s="77" t="s">
        <v>55</v>
      </c>
      <c r="F170" s="77" t="s">
        <v>20</v>
      </c>
      <c r="G170" s="77" t="s">
        <v>22</v>
      </c>
      <c r="H170" s="77" t="s">
        <v>104</v>
      </c>
      <c r="I170" s="77" t="s">
        <v>401</v>
      </c>
      <c r="J170" s="77" t="s">
        <v>163</v>
      </c>
      <c r="K170" s="78" t="str">
        <f>CONCATENATE(D170,".",E170,".",F170,".",G170,".",H170,".",I170,".",J170)</f>
        <v>PE.4S.GN.GE.PNT.400.00</v>
      </c>
      <c r="L170" s="79" t="s">
        <v>402</v>
      </c>
      <c r="M170" s="76" t="s">
        <v>293</v>
      </c>
      <c r="N170" s="80"/>
      <c r="O170" s="95"/>
      <c r="P170" s="96"/>
      <c r="Q170" s="96"/>
      <c r="R170" s="96"/>
      <c r="S170" s="102"/>
    </row>
    <row r="171" spans="1:19" ht="30" customHeight="1">
      <c r="A171" s="75"/>
      <c r="B171" s="76" t="s">
        <v>400</v>
      </c>
      <c r="C171" s="77" t="s">
        <v>161</v>
      </c>
      <c r="D171" s="77" t="s">
        <v>35</v>
      </c>
      <c r="E171" s="77" t="s">
        <v>55</v>
      </c>
      <c r="F171" s="77" t="s">
        <v>20</v>
      </c>
      <c r="G171" s="77" t="s">
        <v>22</v>
      </c>
      <c r="H171" s="77" t="s">
        <v>104</v>
      </c>
      <c r="I171" s="77" t="s">
        <v>403</v>
      </c>
      <c r="J171" s="77" t="s">
        <v>163</v>
      </c>
      <c r="K171" s="78" t="str">
        <f>CONCATENATE(D171,".",E171,".",F171,".",G171,".",H171,".",I171,".",J171)</f>
        <v>PE.4S.GN.GE.PNT.401.00</v>
      </c>
      <c r="L171" s="79" t="s">
        <v>404</v>
      </c>
      <c r="M171" s="76" t="s">
        <v>165</v>
      </c>
      <c r="N171" s="80"/>
      <c r="O171" s="81"/>
      <c r="P171" s="82"/>
      <c r="Q171" s="82"/>
      <c r="R171" s="82"/>
      <c r="S171" s="84"/>
    </row>
    <row r="172" spans="1:19" ht="30" customHeight="1">
      <c r="A172" s="98"/>
      <c r="B172" s="76" t="s">
        <v>400</v>
      </c>
      <c r="C172" s="77" t="s">
        <v>161</v>
      </c>
      <c r="D172" s="77" t="s">
        <v>35</v>
      </c>
      <c r="E172" s="77" t="s">
        <v>55</v>
      </c>
      <c r="F172" s="77" t="s">
        <v>20</v>
      </c>
      <c r="G172" s="77" t="s">
        <v>22</v>
      </c>
      <c r="H172" s="77" t="s">
        <v>104</v>
      </c>
      <c r="I172" s="77" t="s">
        <v>405</v>
      </c>
      <c r="J172" s="77" t="s">
        <v>163</v>
      </c>
      <c r="K172" s="78" t="str">
        <f>CONCATENATE(D172,".",E172,".",F172,".",G172,".",H172,".",I172,".",J172)</f>
        <v>PE.4S.GN.GE.PNT.402.00</v>
      </c>
      <c r="L172" s="79" t="s">
        <v>406</v>
      </c>
      <c r="M172" s="76" t="s">
        <v>165</v>
      </c>
      <c r="N172" s="80"/>
      <c r="O172" s="99"/>
      <c r="P172" s="100"/>
      <c r="Q172" s="100"/>
      <c r="R172" s="100"/>
      <c r="S172" s="101"/>
    </row>
    <row r="173" spans="1:19" ht="30" customHeight="1">
      <c r="A173" s="153" t="s">
        <v>407</v>
      </c>
      <c r="B173" s="154"/>
      <c r="C173" s="154"/>
      <c r="D173" s="154"/>
      <c r="E173" s="154"/>
      <c r="F173" s="154"/>
      <c r="G173" s="155"/>
      <c r="H173" s="154"/>
      <c r="I173" s="154"/>
      <c r="J173" s="155"/>
      <c r="K173" s="154"/>
      <c r="L173" s="155"/>
      <c r="M173" s="155"/>
      <c r="N173" s="151"/>
      <c r="O173" s="156"/>
      <c r="P173" s="156"/>
      <c r="Q173" s="157"/>
      <c r="R173" s="157"/>
      <c r="S173" s="158"/>
    </row>
    <row r="174" spans="1:19" ht="30" customHeight="1">
      <c r="A174" s="94"/>
      <c r="B174" s="76" t="s">
        <v>407</v>
      </c>
      <c r="C174" s="77" t="s">
        <v>161</v>
      </c>
      <c r="D174" s="77" t="s">
        <v>35</v>
      </c>
      <c r="E174" s="77" t="s">
        <v>70</v>
      </c>
      <c r="F174" s="77" t="s">
        <v>20</v>
      </c>
      <c r="G174" s="77" t="s">
        <v>22</v>
      </c>
      <c r="H174" s="77" t="s">
        <v>23</v>
      </c>
      <c r="I174" s="77" t="s">
        <v>408</v>
      </c>
      <c r="J174" s="77" t="s">
        <v>163</v>
      </c>
      <c r="K174" s="78" t="str">
        <f>CONCATENATE(D174,".",E174,".",F174,".",G174,".",H174,".",I174,".",J174)</f>
        <v>PE.8PI.GN.GE.ELB.800.00</v>
      </c>
      <c r="L174" s="79" t="s">
        <v>409</v>
      </c>
      <c r="M174" s="76" t="s">
        <v>293</v>
      </c>
      <c r="N174" s="129"/>
      <c r="O174" s="95"/>
      <c r="P174" s="96"/>
      <c r="Q174" s="96"/>
      <c r="R174" s="96"/>
      <c r="S174" s="102"/>
    </row>
  </sheetData>
  <mergeCells count="20">
    <mergeCell ref="A169:S169"/>
    <mergeCell ref="A173:S173"/>
    <mergeCell ref="A156:S156"/>
    <mergeCell ref="A26:S26"/>
    <mergeCell ref="A21:S21"/>
    <mergeCell ref="A37:S37"/>
    <mergeCell ref="A105:S105"/>
    <mergeCell ref="A32:S32"/>
    <mergeCell ref="A42:C42"/>
    <mergeCell ref="A43:S43"/>
    <mergeCell ref="A71:S71"/>
    <mergeCell ref="A87:S87"/>
    <mergeCell ref="A161:S161"/>
    <mergeCell ref="A1:M1"/>
    <mergeCell ref="O1:O3"/>
    <mergeCell ref="P1:P3"/>
    <mergeCell ref="Q1:Q3"/>
    <mergeCell ref="S1:S3"/>
    <mergeCell ref="R1:R3"/>
    <mergeCell ref="A2:M2"/>
  </mergeCells>
  <dataValidations count="13">
    <dataValidation type="list" allowBlank="1" showInputMessage="1" showErrorMessage="1" sqref="D3" xr:uid="{00000000-0002-0000-0200-000000000000}">
      <formula1>"PP,PD,PE,IN,Fase"</formula1>
    </dataValidation>
    <dataValidation type="list" allowBlank="1" showInputMessage="1" showErrorMessage="1" sqref="E3" xr:uid="{00000000-0002-0000-0200-000001000000}">
      <formula1>"0G,1A,2S,3I,4S,7R,Disc."</formula1>
    </dataValidation>
    <dataValidation type="list" allowBlank="1" showInputMessage="1" showErrorMessage="1" sqref="F3" xr:uid="{00000000-0002-0000-0200-000002000000}">
      <formula1>"EDIFICIO,Edificio"</formula1>
    </dataValidation>
    <dataValidation type="list" allowBlank="1" showInputMessage="1" showErrorMessage="1" sqref="D4:D20 D22:D25 D27:D31 D33:D36 D38:D42 D44:D70 D72:D86 D88:D104 D106:D155 D157:D160" xr:uid="{00000000-0002-0000-0200-000003000000}">
      <formula1>"PP,PD,PE,IN"</formula1>
    </dataValidation>
    <dataValidation type="list" allowBlank="1" showInputMessage="1" showErrorMessage="1" sqref="E4:E20 E22:E25 E27:E31 E33:E36 E38:E41 E44:E70 E72:E86 E88:E104 E157:E160 E162:E168 E170:E172" xr:uid="{00000000-0002-0000-0200-000004000000}">
      <formula1>"0G,1A,2S,3I,4S,7R"</formula1>
    </dataValidation>
    <dataValidation type="list" allowBlank="1" showInputMessage="1" showErrorMessage="1" sqref="F4:F20 F22:F25 F27:F31 F33:F36 F38:F41 F44:F70 F106:F155 F157:F160 F162:F168 F170:F172 F174" xr:uid="{00000000-0002-0000-0200-000005000000}">
      <formula1>"GN,A,B,Z,C,D,F,G,H"</formula1>
    </dataValidation>
    <dataValidation type="list" allowBlank="1" showInputMessage="1" showErrorMessage="1" sqref="G4:G20 G22:G25 G27:G31 G33:G36 G38:G41 G44:G70 G72:G86 G88:G104 G106:G155 G157:G160 G162:G168 G170:G172 G174" xr:uid="{00000000-0002-0000-0200-000006000000}">
      <formula1>"GE,P0,P1,P2,P3,P4,P5,P6,P7,P8,P9,P10,P11,P12,P13,P14,P15,P16,P17,P18,P19,PI,PR,PC"</formula1>
    </dataValidation>
    <dataValidation type="list" allowBlank="1" showInputMessage="1" showErrorMessage="1" sqref="H4:H20 H25 H36" xr:uid="{00000000-0002-0000-0200-000007000000}">
      <formula1>"ELB,REL,CAL,SCH,VAL,CME,EPU,ANP,CRO,DIS,CSA,QTE,PLN,PNT,SEZ,PRO,ABA,CRP,ARM,MET,DET,INF,CAP,SCC,TIP"</formula1>
    </dataValidation>
    <dataValidation type="list" allowBlank="1" showInputMessage="1" showErrorMessage="1" sqref="H22:H23 H27:H31 H44:H70 H72:H86 H88:H104 H106:H155 H157:H160 H162:H168 H170:H172 H174" xr:uid="{00000000-0002-0000-0200-000008000000}">
      <formula1>"ELB,REL,CAL,SCH,VAL,CME,EPU,ANP,CRO,DIS,CSA,QTE,PLN,PNT,SEZ,PRO,ABA,CRP,ARM,MET,DET"</formula1>
    </dataValidation>
    <dataValidation type="list" allowBlank="1" showInputMessage="1" showErrorMessage="1" sqref="H24 H33:H35 H38:H41" xr:uid="{00000000-0002-0000-0200-000009000000}">
      <formula1>"ELB,REL,CAL,SCH,VAL,CME,EPU,ANP,CRO,DIS,CSA,QTE,PLN,PNT,SEZ,PRO,ABA,CRP,ARM,MET,DET,INF,CAP,SCC"</formula1>
    </dataValidation>
    <dataValidation type="list" allowBlank="1" showInputMessage="1" showErrorMessage="1" sqref="G42" xr:uid="{00000000-0002-0000-0200-00000A000000}">
      <formula1>"P0,P1,P2,P3,P4,P5,P6,P7,P8,P9,P10,P11,P12,P13,P14,P15,P16,P17,P18,P19,PI,PR,PC"</formula1>
    </dataValidation>
    <dataValidation type="list" allowBlank="1" showInputMessage="1" showErrorMessage="1" sqref="F72:F86 F88:F104" xr:uid="{00000000-0002-0000-0200-00000B000000}">
      <formula1>"GN,A,B,Z,C,D,F,G,H,BFG,CDEH"</formula1>
    </dataValidation>
    <dataValidation type="list" allowBlank="1" showInputMessage="1" showErrorMessage="1" sqref="E106:E155" xr:uid="{00000000-0002-0000-0200-00000C000000}">
      <formula1>"0G,1A,2S,3I,4S,7R,8PI"</formula1>
    </dataValidation>
  </dataValidations>
  <pageMargins left="0.25" right="0" top="0" bottom="0.248032" header="6.4960599999999993E-2" footer="6.4960599999999993E-2"/>
  <pageSetup scale="36"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F5A59-EB0F-46CE-8CB9-935F0C1F93D0}">
  <dimension ref="C3:E48"/>
  <sheetViews>
    <sheetView tabSelected="1" workbookViewId="0">
      <selection activeCell="E30" sqref="E30"/>
    </sheetView>
  </sheetViews>
  <sheetFormatPr defaultRowHeight="15"/>
  <cols>
    <col min="3" max="3" width="21" customWidth="1"/>
    <col min="4" max="4" width="71.140625" bestFit="1" customWidth="1"/>
    <col min="5" max="5" width="83.28515625" bestFit="1" customWidth="1"/>
  </cols>
  <sheetData>
    <row r="3" spans="3:5">
      <c r="C3" s="131" t="s">
        <v>156</v>
      </c>
      <c r="D3" s="131" t="s">
        <v>410</v>
      </c>
      <c r="E3" s="131"/>
    </row>
    <row r="4" spans="3:5">
      <c r="C4" s="170" t="s">
        <v>451</v>
      </c>
      <c r="D4" s="170"/>
    </row>
    <row r="5" spans="3:5">
      <c r="C5" t="s">
        <v>411</v>
      </c>
      <c r="D5" t="s">
        <v>412</v>
      </c>
    </row>
    <row r="6" spans="3:5">
      <c r="C6" t="s">
        <v>413</v>
      </c>
      <c r="D6" t="s">
        <v>414</v>
      </c>
    </row>
    <row r="7" spans="3:5">
      <c r="C7" t="s">
        <v>415</v>
      </c>
      <c r="D7" t="s">
        <v>416</v>
      </c>
    </row>
    <row r="8" spans="3:5">
      <c r="C8" t="s">
        <v>417</v>
      </c>
      <c r="D8" t="s">
        <v>418</v>
      </c>
    </row>
    <row r="10" spans="3:5">
      <c r="C10" t="s">
        <v>423</v>
      </c>
      <c r="D10" t="s">
        <v>434</v>
      </c>
    </row>
    <row r="11" spans="3:5">
      <c r="C11" t="s">
        <v>424</v>
      </c>
      <c r="D11" t="s">
        <v>435</v>
      </c>
    </row>
    <row r="12" spans="3:5">
      <c r="C12" t="s">
        <v>425</v>
      </c>
      <c r="D12" t="s">
        <v>436</v>
      </c>
    </row>
    <row r="13" spans="3:5">
      <c r="C13" t="s">
        <v>426</v>
      </c>
      <c r="D13" t="s">
        <v>437</v>
      </c>
    </row>
    <row r="15" spans="3:5">
      <c r="C15" t="s">
        <v>427</v>
      </c>
      <c r="D15" t="s">
        <v>438</v>
      </c>
    </row>
    <row r="16" spans="3:5">
      <c r="C16" t="s">
        <v>428</v>
      </c>
      <c r="D16" t="s">
        <v>439</v>
      </c>
    </row>
    <row r="17" spans="3:5">
      <c r="C17" t="s">
        <v>429</v>
      </c>
      <c r="D17" t="s">
        <v>440</v>
      </c>
    </row>
    <row r="18" spans="3:5">
      <c r="C18" t="s">
        <v>430</v>
      </c>
      <c r="D18" t="s">
        <v>441</v>
      </c>
    </row>
    <row r="20" spans="3:5">
      <c r="C20" t="s">
        <v>431</v>
      </c>
      <c r="D20" t="s">
        <v>442</v>
      </c>
    </row>
    <row r="21" spans="3:5">
      <c r="C21" t="s">
        <v>432</v>
      </c>
      <c r="D21" t="s">
        <v>444</v>
      </c>
    </row>
    <row r="22" spans="3:5">
      <c r="C22" t="s">
        <v>433</v>
      </c>
      <c r="D22" t="s">
        <v>445</v>
      </c>
    </row>
    <row r="23" spans="3:5">
      <c r="C23" t="s">
        <v>443</v>
      </c>
      <c r="D23" t="s">
        <v>446</v>
      </c>
    </row>
    <row r="24" spans="3:5">
      <c r="C24" t="s">
        <v>447</v>
      </c>
      <c r="D24" t="s">
        <v>449</v>
      </c>
    </row>
    <row r="25" spans="3:5">
      <c r="C25" t="s">
        <v>448</v>
      </c>
      <c r="D25" t="s">
        <v>450</v>
      </c>
    </row>
    <row r="26" spans="3:5">
      <c r="C26" t="s">
        <v>487</v>
      </c>
      <c r="D26" t="s">
        <v>488</v>
      </c>
    </row>
    <row r="28" spans="3:5">
      <c r="C28" s="170" t="s">
        <v>452</v>
      </c>
      <c r="D28" s="170"/>
    </row>
    <row r="29" spans="3:5">
      <c r="C29" s="130" t="s">
        <v>483</v>
      </c>
      <c r="D29" t="s">
        <v>419</v>
      </c>
      <c r="E29" s="130"/>
    </row>
    <row r="30" spans="3:5">
      <c r="C30" s="130" t="s">
        <v>484</v>
      </c>
      <c r="D30" t="s">
        <v>420</v>
      </c>
    </row>
    <row r="31" spans="3:5">
      <c r="C31" t="s">
        <v>421</v>
      </c>
      <c r="D31" t="s">
        <v>422</v>
      </c>
    </row>
    <row r="33" spans="3:4">
      <c r="C33" t="s">
        <v>453</v>
      </c>
      <c r="D33" t="s">
        <v>465</v>
      </c>
    </row>
    <row r="34" spans="3:4">
      <c r="C34" t="s">
        <v>454</v>
      </c>
      <c r="D34" t="s">
        <v>466</v>
      </c>
    </row>
    <row r="35" spans="3:4">
      <c r="C35" t="s">
        <v>455</v>
      </c>
      <c r="D35" t="s">
        <v>467</v>
      </c>
    </row>
    <row r="36" spans="3:4">
      <c r="C36" t="s">
        <v>456</v>
      </c>
      <c r="D36" t="s">
        <v>468</v>
      </c>
    </row>
    <row r="37" spans="3:4">
      <c r="C37" t="s">
        <v>470</v>
      </c>
      <c r="D37" t="s">
        <v>469</v>
      </c>
    </row>
    <row r="38" spans="3:4">
      <c r="C38" t="s">
        <v>457</v>
      </c>
      <c r="D38" t="s">
        <v>471</v>
      </c>
    </row>
    <row r="39" spans="3:4">
      <c r="C39" t="s">
        <v>458</v>
      </c>
      <c r="D39" t="s">
        <v>472</v>
      </c>
    </row>
    <row r="40" spans="3:4">
      <c r="C40" t="s">
        <v>459</v>
      </c>
      <c r="D40" t="s">
        <v>473</v>
      </c>
    </row>
    <row r="41" spans="3:4">
      <c r="C41" t="s">
        <v>460</v>
      </c>
      <c r="D41" t="s">
        <v>474</v>
      </c>
    </row>
    <row r="42" spans="3:4">
      <c r="C42" t="s">
        <v>482</v>
      </c>
      <c r="D42" t="s">
        <v>481</v>
      </c>
    </row>
    <row r="43" spans="3:4">
      <c r="C43" t="s">
        <v>461</v>
      </c>
      <c r="D43" t="s">
        <v>475</v>
      </c>
    </row>
    <row r="44" spans="3:4">
      <c r="C44" t="s">
        <v>462</v>
      </c>
      <c r="D44" t="s">
        <v>476</v>
      </c>
    </row>
    <row r="45" spans="3:4">
      <c r="C45" t="s">
        <v>463</v>
      </c>
      <c r="D45" t="s">
        <v>477</v>
      </c>
    </row>
    <row r="46" spans="3:4">
      <c r="C46" t="s">
        <v>464</v>
      </c>
      <c r="D46" t="s">
        <v>478</v>
      </c>
    </row>
    <row r="47" spans="3:4">
      <c r="C47" t="s">
        <v>480</v>
      </c>
      <c r="D47" t="s">
        <v>479</v>
      </c>
    </row>
    <row r="48" spans="3:4">
      <c r="C48" t="s">
        <v>485</v>
      </c>
      <c r="D48" t="s">
        <v>486</v>
      </c>
    </row>
  </sheetData>
  <mergeCells count="2">
    <mergeCell ref="C4:D4"/>
    <mergeCell ref="C28:D2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Riepilogo di esportazione</vt:lpstr>
      <vt:lpstr>WBS</vt:lpstr>
      <vt:lpstr>ELB_Esecutivo</vt:lpstr>
      <vt:lpstr>Elaborati Impianti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Daniele Tofanelli</cp:lastModifiedBy>
  <dcterms:modified xsi:type="dcterms:W3CDTF">2025-05-27T14:06:54Z</dcterms:modified>
</cp:coreProperties>
</file>