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abella migliorie" sheetId="1" r:id="rId4"/>
  </sheets>
</workbook>
</file>

<file path=xl/sharedStrings.xml><?xml version="1.0" encoding="utf-8"?>
<sst xmlns="http://schemas.openxmlformats.org/spreadsheetml/2006/main" uniqueCount="148">
  <si>
    <t>Voce CME</t>
  </si>
  <si>
    <t>Descrizione</t>
  </si>
  <si>
    <t>Quantità</t>
  </si>
  <si>
    <t>Miglioria</t>
  </si>
  <si>
    <t xml:space="preserve">Criterio A </t>
  </si>
  <si>
    <t>Sub-criterio A.1</t>
  </si>
  <si>
    <t>Professionista LEED AP</t>
  </si>
  <si>
    <t>Sub-criterio A.2</t>
  </si>
  <si>
    <t>Progettazione esecutiva in BIM (10% PE)</t>
  </si>
  <si>
    <t>Criterio  B</t>
  </si>
  <si>
    <t>Sub-criterio B.1</t>
  </si>
  <si>
    <t>Certificazione 14001</t>
  </si>
  <si>
    <t>Sub-criterio B.2</t>
  </si>
  <si>
    <t>Approvvigionamento entro 150 km</t>
  </si>
  <si>
    <t>Criterio C</t>
  </si>
  <si>
    <t>Sub-criterio C.1</t>
  </si>
  <si>
    <t xml:space="preserve">M:003 </t>
  </si>
  <si>
    <t>MPIANTI IDROSANITARI</t>
  </si>
  <si>
    <t>Riduzione Epgl,nren del 10% rispetto al limite</t>
  </si>
  <si>
    <t xml:space="preserve">M:004 </t>
  </si>
  <si>
    <t xml:space="preserve">IMPIANTI MECCANICI </t>
  </si>
  <si>
    <t>Sub-criterio C.2</t>
  </si>
  <si>
    <t xml:space="preserve">156 / 355 IE-056 </t>
  </si>
  <si>
    <t>Fornitura e posa in opera di tutta la componentistica necessaria per la realizzazione di impianto BMS finalizzata alla gestione integrata di tutte le funzioni tecnologiche come con ... onsumi energetici, prezzo applicato per punto utenza comprensivo di avviamento e collaudo marca di riferimento Schneider</t>
  </si>
  <si>
    <t>BMS BACS Classe A</t>
  </si>
  <si>
    <t>Criterio  D</t>
  </si>
  <si>
    <t>Tamponamenti</t>
  </si>
  <si>
    <t xml:space="preserve">TOS24-01.C01.032.005 </t>
  </si>
  <si>
    <r>
      <rPr>
        <b val="1"/>
        <sz val="12"/>
        <color indexed="8"/>
        <rFont val="Aptos Narrow"/>
      </rPr>
      <t>Paramento 1</t>
    </r>
    <r>
      <rPr>
        <sz val="12"/>
        <color indexed="8"/>
        <rFont val="Aptos Narrow"/>
      </rPr>
      <t xml:space="preserve">
</t>
    </r>
    <r>
      <rPr>
        <sz val="12"/>
        <color indexed="8"/>
        <rFont val="Aptos Narrow"/>
      </rPr>
      <t xml:space="preserve">Muratura di pareti in blocchi di cls e argilla espansa vibro-compressi non portanti eseguita con malta di
</t>
    </r>
    <r>
      <rPr>
        <sz val="12"/>
        <color indexed="8"/>
        <rFont val="Aptos Narrow"/>
      </rPr>
      <t xml:space="preserve">cemento spessore cm 30 con faccia in vista quando
</t>
    </r>
    <r>
      <rPr>
        <sz val="12"/>
        <color indexed="8"/>
        <rFont val="Aptos Narrow"/>
      </rPr>
      <t>richiestocompreso formazione architravi, spallette e quanto altro (misurazione vuoto pieno per sup.)</t>
    </r>
  </si>
  <si>
    <t>Muratura di tamponamento in zona non sismica realizzata con blocchi termici in calcestruzzo alleggerito con argilla espansa Lecablocco tipo Bioclima30 o similare</t>
  </si>
  <si>
    <t xml:space="preserve">ARC-008.04 </t>
  </si>
  <si>
    <r>
      <rPr>
        <b val="1"/>
        <sz val="12"/>
        <color indexed="8"/>
        <rFont val="Aptos Narrow"/>
      </rPr>
      <t xml:space="preserve">Paramento 4 - Muratura di pareti in blocchi e controparete coibentata
</t>
    </r>
    <r>
      <rPr>
        <sz val="12"/>
        <color indexed="8"/>
        <rFont val="Aptos Narrow"/>
      </rPr>
      <t xml:space="preserve">Muratura di pareti in blocchi di cls e argilla espansa vibro-compressi non portanti eseguita con malta di cemento spessore cm 30 con faccia in vista quando richiesto completata con placcatura su uno dei lati eseguita con doppia lastra di cartongesso dello spessore di 12,5 mm. di cui una idrofuga, fissata mediante viti autoperforanti a una struttura costituita da profilati in lamiera di acciaio zincato da 0,6 mm. spessore mm100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t>
    </r>
    <r>
      <rPr>
        <sz val="12"/>
        <color indexed="15"/>
        <rFont val="Aptos Narrow (Corpo)"/>
      </rPr>
      <t>Compreso la provvista e posa all'interno della parete di pannello in EPS spessore mm 100 e barriera al vapore in PE</t>
    </r>
  </si>
  <si>
    <r>
      <rPr>
        <b val="1"/>
        <sz val="12"/>
        <color indexed="8"/>
        <rFont val="Aptos Narrow"/>
      </rPr>
      <t xml:space="preserve">Muratura di tamponamento in zona non sismica realizzata con blocchi termici in calcestruzzo alleggerito con argilla espansa Lecablocco tipo Bioclima30 o similare, </t>
    </r>
    <r>
      <rPr>
        <sz val="12"/>
        <color indexed="8"/>
        <rFont val="Aptos Narrow"/>
      </rPr>
      <t xml:space="preserve"> quando richiesto completata con:
</t>
    </r>
    <r>
      <rPr>
        <b val="1"/>
        <sz val="12"/>
        <color indexed="8"/>
        <rFont val="Aptos Narrow"/>
      </rPr>
      <t xml:space="preserve">Placcatura di parete eseguita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 xml:space="preserve">tipo Knauf Idrolastra GKI (H)  -  idrorepellente o similare
</t>
    </r>
    <r>
      <rPr>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t>
    </r>
    <r>
      <rPr>
        <sz val="12"/>
        <color indexed="8"/>
        <rFont val="Aptos Narrow"/>
      </rPr>
      <t xml:space="preserve">Compreso la provvista e posa all'interno della parete di </t>
    </r>
    <r>
      <rPr>
        <b val="1"/>
        <sz val="12"/>
        <color indexed="8"/>
        <rFont val="Aptos Narrow"/>
      </rPr>
      <t>isolamento termico in pannelli costituiti da schiuma fenolica a cellule chiuse, espansa senza CFC e HCFC, rivestito su una faccia da uno strato di alluminio multistrato non traspirante e sull’altra da un alluminio multistrato microforato, tipo SUPERCEL AERIS o similare</t>
    </r>
  </si>
  <si>
    <t xml:space="preserve">ARC-008.05_15 </t>
  </si>
  <si>
    <r>
      <rPr>
        <b val="1"/>
        <sz val="12"/>
        <color indexed="8"/>
        <rFont val="Aptos Narrow"/>
      </rPr>
      <t>Paramento 5-15 - Placcatura</t>
    </r>
    <r>
      <rPr>
        <sz val="12"/>
        <color indexed="8"/>
        <rFont val="Aptos Narrow"/>
      </rPr>
      <t xml:space="preserve">
</t>
    </r>
    <r>
      <rPr>
        <sz val="12"/>
        <color indexed="8"/>
        <rFont val="Aptos Narrow"/>
      </rPr>
      <t>Placcatura di parete eseguita con doppia lastra di cartongesso dello spessore di 12,5 mm.,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doppia lastra di cartongesso di cui una di tipo ifrofugo.</t>
    </r>
  </si>
  <si>
    <r>
      <rPr>
        <b val="1"/>
        <sz val="12"/>
        <color indexed="8"/>
        <rFont val="Aptos Narrow"/>
      </rPr>
      <t xml:space="preserve">Placcatura di parete eseguita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 xml:space="preserve">tipo Knauf Idrolastra GKI (H)  -  idrorepellente o similare
</t>
    </r>
    <r>
      <rPr>
        <b val="1"/>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</si>
  <si>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t>ARC-008.06_24</t>
  </si>
  <si>
    <r>
      <rPr>
        <b val="1"/>
        <sz val="12"/>
        <color indexed="8"/>
        <rFont val="Aptos Narrow"/>
      </rPr>
      <t>Paramento 6-24 - Placcatura e coibentazione</t>
    </r>
    <r>
      <rPr>
        <sz val="12"/>
        <color indexed="8"/>
        <rFont val="Aptos Narrow"/>
      </rPr>
      <t xml:space="preserve">
</t>
    </r>
    <r>
      <rPr>
        <sz val="12"/>
        <color indexed="8"/>
        <rFont val="Aptos Narrow"/>
      </rPr>
      <t>Placcatura su entrambi i lati di paret, eseguita con lastra di cartongesso dello spessore di 12,5 mm., fissata mediante viti autoperforanti a una struttura costituita da profilati in lamiera di acciaio zincato da 0,6 mm.,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doppia lastra di cartongesso di cui una di tipo ifrofugo per ciascun lato e con aggiunta all'interno della controparte di uno dei lati (avente spessore cm 10+2.5) di pannello in EPS spessore mm 100 e barriera al vapore in PE.</t>
    </r>
  </si>
  <si>
    <r>
      <rPr>
        <b val="1"/>
        <sz val="12"/>
        <color indexed="8"/>
        <rFont val="Aptos Narrow"/>
      </rPr>
      <t xml:space="preserve">Placcatura su entrambi i lati di parete, eseguita con: 
</t>
    </r>
    <r>
      <rPr>
        <b val="1"/>
        <sz val="12"/>
        <color indexed="8"/>
        <rFont val="Aptos Narrow"/>
      </rPr>
      <t xml:space="preserve">-lastra in gesso rivestito tipo Knauf GKB Advanced A) o similare (lato interno);
</t>
    </r>
    <r>
      <rPr>
        <b val="1"/>
        <sz val="12"/>
        <color indexed="8"/>
        <rFont val="Aptos Narrow"/>
      </rPr>
      <t xml:space="preserve">-Lastra in gesso fibrato tipo Knauf Vidiwall o similare (lato esterno-ambiente);
</t>
    </r>
    <r>
      <rPr>
        <sz val="12"/>
        <color indexed="8"/>
        <rFont val="Aptos Narrow"/>
      </rPr>
      <t xml:space="preserve">fissate mediante viti autoperforanti a una struttura costituita da profilati in lamiera di acciaio zincato da 0,6 mm.,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t>
    </r>
    <r>
      <rPr>
        <b val="1"/>
        <sz val="12"/>
        <color indexed="8"/>
        <rFont val="Aptos Narrow"/>
      </rPr>
      <t xml:space="preserve">
</t>
    </r>
    <r>
      <rPr>
        <b val="1"/>
        <sz val="12"/>
        <color indexed="8"/>
        <rFont val="Aptos Narrow"/>
      </rPr>
      <t xml:space="preserve">
</t>
    </r>
    <r>
      <rPr>
        <b val="1"/>
        <sz val="12"/>
        <color indexed="8"/>
        <rFont val="Aptos Narrow"/>
      </rPr>
      <t>Con aggiunta all'interno della controparte di uno dei lati (avente spessore cm 10+2.5) di pannelli costituiti da schiuma fenolica a cellule chiuse, espansa senza CFC e HCFC, rivestito su una faccia da uno strato di alluminio multistrato non traspirante e sull’altra da un alluminio multistrato microforato, tipo SUPERCEL AERIS o similare.</t>
    </r>
  </si>
  <si>
    <t xml:space="preserve">ARC-008.07_32 </t>
  </si>
  <si>
    <r>
      <rPr>
        <b val="1"/>
        <sz val="12"/>
        <color indexed="8"/>
        <rFont val="Aptos Narrow"/>
      </rPr>
      <t>Paramento 7-32 - Placcatura idrofuga</t>
    </r>
    <r>
      <rPr>
        <sz val="12"/>
        <color indexed="8"/>
        <rFont val="Aptos Narrow"/>
      </rPr>
      <t xml:space="preserve">
</t>
    </r>
    <r>
      <rPr>
        <sz val="12"/>
        <color indexed="8"/>
        <rFont val="Aptos Narrow"/>
      </rPr>
      <t>Placcatura di parete eseguita con doppia lastra di cartongesso dello spessore di 12,5 mm. di cui una idrofuga, fissata mediante viti autoperforanti a una struttura costituita da profilati in lamiera di acciaio zincato da 0,6 mm. spessore mm100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Compreso la provvista e posa all'interno della parete di pannello in EPS spessore mm 100 e barriera al vapore in PE.</t>
    </r>
  </si>
  <si>
    <r>
      <rPr>
        <b val="1"/>
        <sz val="12"/>
        <color indexed="8"/>
        <rFont val="Aptos Narrow"/>
      </rPr>
      <t xml:space="preserve">Placcatura su entrambi i lati di parete, eseguita con: 
</t>
    </r>
    <r>
      <rPr>
        <b val="1"/>
        <sz val="12"/>
        <color indexed="8"/>
        <rFont val="Aptos Narrow"/>
      </rPr>
      <t xml:space="preserve">-lastra in gesso rivestito tipo Knauf GKB Advanced A) o similare (lato interno);
</t>
    </r>
    <r>
      <rPr>
        <b val="1"/>
        <sz val="12"/>
        <color indexed="8"/>
        <rFont val="Aptos Narrow"/>
      </rPr>
      <t xml:space="preserve">-Lastra in gesso rivestito idrorepellente tipo Knauf Idrolastra GKI (H) o similare
</t>
    </r>
    <r>
      <rPr>
        <sz val="12"/>
        <color indexed="8"/>
        <rFont val="Aptos Narrow"/>
      </rPr>
      <t xml:space="preserve">fissate mediante viti autoperforanti a una struttura costituita da profilati in lamiera di acciaio zincato da 0,6 mm.,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t>
    </r>
    <r>
      <rPr>
        <b val="1"/>
        <sz val="12"/>
        <color indexed="8"/>
        <rFont val="Aptos Narrow"/>
      </rPr>
      <t xml:space="preserve">
</t>
    </r>
    <r>
      <rPr>
        <b val="1"/>
        <sz val="12"/>
        <color indexed="8"/>
        <rFont val="Aptos Narrow"/>
      </rPr>
      <t xml:space="preserve">
</t>
    </r>
    <r>
      <rPr>
        <b val="1"/>
        <sz val="12"/>
        <color indexed="8"/>
        <rFont val="Aptos Narrow"/>
      </rPr>
      <t>Con aggiunta all'interno della controparte di uno dei lati (avente spessore cm 10+2.5) di pannelli costituiti da schiuma fenolica a cellule chiuse, espansa senza CFC e HCFC, rivestito su una faccia da uno strato di alluminio multistrato non traspirante e sull’altra da un alluminio multistrato microforato, tipo SUPERCEL AERIS o similare.</t>
    </r>
  </si>
  <si>
    <t>ARC-008.08</t>
  </si>
  <si>
    <r>
      <rPr>
        <b val="1"/>
        <sz val="12"/>
        <color indexed="8"/>
        <rFont val="Aptos Narrow"/>
      </rPr>
      <t>Paramento 8 - muratura in blocchi isolata + placcatura</t>
    </r>
    <r>
      <rPr>
        <sz val="12"/>
        <color indexed="8"/>
        <rFont val="Aptos Narrow"/>
      </rPr>
      <t xml:space="preserve">
</t>
    </r>
    <r>
      <rPr>
        <sz val="12"/>
        <color indexed="8"/>
        <rFont val="Aptos Narrow"/>
      </rPr>
      <t xml:space="preserve">Muratura di pareti in blocchi di cls e argilla espansa vibro-compressi non portanti eseguita con malta di cemento spessore cm 30:
</t>
    </r>
    <r>
      <rPr>
        <sz val="12"/>
        <color indexed="8"/>
        <rFont val="Aptos Narrow"/>
      </rPr>
      <t xml:space="preserve">- con placcatura di parete eseguita con doppia lastra di cartongesso dello spessore di 12,5 mm. di cui una idrofuga,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t>
    </r>
    <r>
      <rPr>
        <sz val="12"/>
        <color indexed="8"/>
        <rFont val="Aptos Narrow"/>
      </rPr>
      <t>- controparete realizzata con blocchi in cls areato autoclavato spessore cm 10 murato con apposita malta con interposto pannello di EPS spessore cm 10.</t>
    </r>
  </si>
  <si>
    <t>Muratura di tamponamento in zona non sismica realizzata con blocchi termici in calcestruzzo alleggerito con argilla espansa Lecablocco tipo Bioclima30 o similare,
- con placcatura di parete eseguita con doppia lastra di cartongesso dello spessore di 12,5 mm. di cui una idrofuga tipo Knauf Idrolastra GKI (H) o similare
- pannelli isolanti minerale in idrati di silicato di calcio, non infiammabile, privo di fibre, costituito da materie prime naturali, altamente traspirante ed idrofilo, particolarmente indicato per l’isolamento interno senza freno vapore, sp. 16 cm  - tipo Bacchi B/Isola o similare.</t>
  </si>
  <si>
    <t xml:space="preserve">ARC-008.09 </t>
  </si>
  <si>
    <r>
      <rPr>
        <b val="1"/>
        <sz val="12"/>
        <color indexed="8"/>
        <rFont val="Aptos Narrow"/>
      </rPr>
      <t>Paramento 9 - Placcatura su entrambi lati</t>
    </r>
    <r>
      <rPr>
        <sz val="12"/>
        <color indexed="8"/>
        <rFont val="Aptos Narrow"/>
      </rPr>
      <t xml:space="preserve">
</t>
    </r>
    <r>
      <rPr>
        <sz val="12"/>
        <color indexed="8"/>
        <rFont val="Aptos Narrow"/>
      </rPr>
      <t xml:space="preserve">Placcatura di parete su ambo i lati così costituita:
</t>
    </r>
    <r>
      <rPr>
        <sz val="12"/>
        <color indexed="8"/>
        <rFont val="Aptos Narrow"/>
      </rPr>
      <t xml:space="preserve">- con placcatura di parete eseguita con doppia lastra di cartongesso dello spessore di 12,5 mm. di cui una idrofuga,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t>
    </r>
    <r>
      <rPr>
        <sz val="12"/>
        <color indexed="8"/>
        <rFont val="Aptos Narrow"/>
      </rPr>
      <t>- controparete realizzata con blocchi in cls areato autoclavato spessore cm 10 murato con apposita malta con interposto pannello di EPS spessore cm 10.</t>
    </r>
  </si>
  <si>
    <t xml:space="preserve">ARC-008.10 </t>
  </si>
  <si>
    <r>
      <rPr>
        <b val="1"/>
        <sz val="12"/>
        <color indexed="8"/>
        <rFont val="Aptos Narrow"/>
      </rPr>
      <t>Paramento 10</t>
    </r>
    <r>
      <rPr>
        <sz val="12"/>
        <color indexed="8"/>
        <rFont val="Aptos Narrow"/>
      </rPr>
      <t xml:space="preserve">
</t>
    </r>
    <r>
      <rPr>
        <sz val="12"/>
        <color indexed="8"/>
        <rFont val="Aptos Narrow"/>
      </rPr>
      <t>Realizzazione di parete con blocchi in cls areato autoclavato spessore cm 10 murato con apposita malta con faccia in vista</t>
    </r>
  </si>
  <si>
    <t>Parete divisoria interna realizzata con blocchi pieni in cls a incastro (verticale e orizzontale) posata con malta Universale Lecalite a consistenza fluida o boiacca di cemento, dimensioni modulari 10x28x55 cm (S x H x L), densità a secco 800 kg/m3, tipo Lecablocco Tramezza Lecalite T10 o similare</t>
  </si>
  <si>
    <t xml:space="preserve">ARC-008.14 </t>
  </si>
  <si>
    <r>
      <rPr>
        <b val="1"/>
        <sz val="12"/>
        <color indexed="8"/>
        <rFont val="Aptos Narrow"/>
      </rPr>
      <t>Paramento 14</t>
    </r>
    <r>
      <rPr>
        <sz val="12"/>
        <color indexed="8"/>
        <rFont val="Aptos Narrow"/>
      </rPr>
      <t xml:space="preserve">
</t>
    </r>
    <r>
      <rPr>
        <sz val="12"/>
        <color indexed="8"/>
        <rFont val="Aptos Narrow"/>
      </rPr>
      <t>Muratura di pareti in blocchi di cls e argilla espansa vibro-compressi non portanti eseguita con malta di cemento spessore cm 30 con faccia in vista quando richiesto completata con placcatura su uno dei lati eseguita con doppia lastra di cartongesso dello spessore di 12,5 mm. di cui una idrofuga, fissata mediante viti autoperforanti a una struttura costituita da profilati in lamiera di acciaio zincato da 0,6 mm. spessore mm100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t>
    </r>
  </si>
  <si>
    <r>
      <rPr>
        <b val="1"/>
        <sz val="12"/>
        <color indexed="8"/>
        <rFont val="Aptos Narrow"/>
      </rPr>
      <t>Muratura di tamponamento in zona non sismica realizzata con blocchi termici in calcestruzzo alleggerito con argilla espansa Lecablocco tipo Bioclima30 o similare,</t>
    </r>
    <r>
      <rPr>
        <sz val="12"/>
        <color indexed="8"/>
        <rFont val="Aptos Narrow"/>
      </rPr>
      <t xml:space="preserve"> 
</t>
    </r>
    <r>
      <rPr>
        <sz val="12"/>
        <color indexed="8"/>
        <rFont val="Aptos Narrow"/>
      </rPr>
      <t xml:space="preserve">
</t>
    </r>
    <r>
      <rPr>
        <sz val="12"/>
        <color indexed="8"/>
        <rFont val="Aptos Narrow"/>
      </rPr>
      <t xml:space="preserve">completata su uno de i lati con:
</t>
    </r>
    <r>
      <rPr>
        <b val="1"/>
        <sz val="12"/>
        <color indexed="8"/>
        <rFont val="Aptos Narrow"/>
      </rPr>
      <t xml:space="preserve"> placcatura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-tipo Knauf Idrolastra GKI (H)  -  idrorepellente o similare</t>
    </r>
    <r>
      <rPr>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</si>
  <si>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t xml:space="preserve">ARC-008.16 </t>
  </si>
  <si>
    <r>
      <rPr>
        <b val="1"/>
        <sz val="12"/>
        <color indexed="8"/>
        <rFont val="Aptos Narrow"/>
      </rPr>
      <t>Paramento 16</t>
    </r>
    <r>
      <rPr>
        <sz val="12"/>
        <color indexed="8"/>
        <rFont val="Aptos Narrow"/>
      </rPr>
      <t xml:space="preserve">
</t>
    </r>
    <r>
      <rPr>
        <sz val="12"/>
        <color indexed="8"/>
        <rFont val="Aptos Narrow"/>
      </rPr>
      <t>Placcatura su entrambi i lati di parete, eseguita con lastra di cartongesso dello spessore di 12,5 mm., fissata mediante viti autoperforanti a una struttura costituita da profilati in lamiera di acciaio zincato da 0,6 mm. , con montanti ad interasse di 600 mm spessore 50mm per un lato e mm100 per l'altro.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doppia lastra di cartongesso di cui una di tipo ifrofugo per ciascun lato.</t>
    </r>
  </si>
  <si>
    <r>
      <rPr>
        <b val="1"/>
        <sz val="12"/>
        <color indexed="8"/>
        <rFont val="Aptos Narrow"/>
      </rPr>
      <t xml:space="preserve">Placcatura di parete eseguita su entrambi i lati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 xml:space="preserve">tipo Knauf Idrolastra GKI (H)  -  idrorepellente o similare
</t>
    </r>
    <r>
      <rPr>
        <b val="1"/>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</si>
  <si>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t xml:space="preserve">ARC-008.17_25 </t>
  </si>
  <si>
    <r>
      <rPr>
        <b val="1"/>
        <sz val="12"/>
        <color indexed="8"/>
        <rFont val="Aptos Narrow"/>
      </rPr>
      <t>Paramento 17-25</t>
    </r>
    <r>
      <rPr>
        <sz val="12"/>
        <color indexed="8"/>
        <rFont val="Aptos Narrow"/>
      </rPr>
      <t xml:space="preserve">
</t>
    </r>
    <r>
      <rPr>
        <sz val="12"/>
        <color indexed="8"/>
        <rFont val="Aptos Narrow"/>
      </rPr>
      <t>Muratura di pareti in blocchi di cls e argilla espansa vibro-compressi non portanti eseguita con malta di cemento spessore cm 30 con faccia in vista quando richiesto completata con placcatura su entrambi i lati uno dei quali lati eseguita con doppia lastra di cartongesso dello spessore di 12,5 mm. di cui una idrofuga, fissata mediante viti autoperforanti a una struttura costituita da profilati in lamiera di acciaio zincato da 0,6 mm, con montanti ad interasse di 600 mm. e guide al pavimento e soffitto fissate alle strutture. compresa la formazione degli spigoli vivi, retinati o sporgenti, la rete per la stuccatura dei giunti e la sigillatura.Placcatura dell'altro lato sarà realizzata nello stesso modo e con i medesimi componenti ma con telaio di supporto di spessore richiesto. L'attacco con il soffitto con nastro vinilico adesivo e la formazione di eventuali vani porta e vani finestra, con i contorni dotati di profilati metallici per il fissaggio dei serramenti. Spessore totale delle contropareti al finito come da schema grafico progettuale.</t>
    </r>
  </si>
  <si>
    <r>
      <rPr>
        <b val="1"/>
        <sz val="12"/>
        <color indexed="8"/>
        <rFont val="Aptos Narrow"/>
      </rPr>
      <t>Muratura di tamponamento in zona non sismica realizzata con blocchi termici in calcestruzzo alleggerito con argilla espansa Lecablocco tipo Bioclima30 o similare,</t>
    </r>
    <r>
      <rPr>
        <sz val="12"/>
        <color indexed="8"/>
        <rFont val="Aptos Narrow"/>
      </rPr>
      <t xml:space="preserve"> 
</t>
    </r>
    <r>
      <rPr>
        <sz val="12"/>
        <color indexed="8"/>
        <rFont val="Aptos Narrow"/>
      </rPr>
      <t xml:space="preserve">
</t>
    </r>
    <r>
      <rPr>
        <sz val="12"/>
        <color indexed="8"/>
        <rFont val="Aptos Narrow"/>
      </rPr>
      <t xml:space="preserve">completata su entrambi i lati con:
</t>
    </r>
    <r>
      <rPr>
        <b val="1"/>
        <sz val="12"/>
        <color indexed="8"/>
        <rFont val="Aptos Narrow"/>
      </rPr>
      <t xml:space="preserve"> placcatura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-tipo Knauf Idrolastra GKI (H)  -  idrorepellente o similare</t>
    </r>
    <r>
      <rPr>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</si>
  <si>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t xml:space="preserve">ARC-008.11 </t>
  </si>
  <si>
    <r>
      <rPr>
        <b val="1"/>
        <sz val="12"/>
        <color indexed="8"/>
        <rFont val="Aptos Narrow"/>
      </rPr>
      <t xml:space="preserve">Paramento 11 - Pareti divisorie in lastre di
</t>
    </r>
    <r>
      <rPr>
        <b val="1"/>
        <sz val="12"/>
        <color indexed="8"/>
        <rFont val="Aptos Narrow"/>
      </rPr>
      <t xml:space="preserve">cartongesso coibentata
</t>
    </r>
    <r>
      <rPr>
        <sz val="12"/>
        <color indexed="8"/>
        <rFont val="Aptos Narrow"/>
      </rPr>
      <t>Pareti divisorie in lastre di cartongesso dello spessore di 12,5 mm., fissate mediante viti autoperforanti a una struttura costituita da profilati in lamiera di acciaio zincato da 0,6 mm. , con montanti ad interasse di 600 mm sp 100.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due lastre di cartongesso su entrambi i lati della parete di cui una di tipo idrofugo, compreso provvista e posa di materassino di lana di roccia sp mm80 .</t>
    </r>
  </si>
  <si>
    <r>
      <rPr>
        <b val="1"/>
        <sz val="12"/>
        <color indexed="8"/>
        <rFont val="Aptos Narrow"/>
      </rPr>
      <t xml:space="preserve">Pareti divisorie costituita da:
</t>
    </r>
    <r>
      <rPr>
        <b val="1"/>
        <sz val="12"/>
        <color indexed="8"/>
        <rFont val="Aptos Narrow"/>
      </rPr>
      <t xml:space="preserve">-Lastre in gesso rivestito tipo Knauf GKB Advanced (A) o similare, spessore di 12,5 mm (lato interno)
</t>
    </r>
    <r>
      <rPr>
        <b val="1"/>
        <sz val="12"/>
        <color indexed="8"/>
        <rFont val="Aptos Narrow"/>
      </rPr>
      <t xml:space="preserve">- Lastre in gesso rivestito idrorepellente tipo Knauf Idrolastra GKI (H) o similare, spessore di 12,5 mm (lato esterno)
</t>
    </r>
    <r>
      <rPr>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sp 100.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t>
    </r>
    <r>
      <rPr>
        <b val="1"/>
        <sz val="12"/>
        <color indexed="8"/>
        <rFont val="Aptos Narrow"/>
      </rPr>
      <t xml:space="preserve">Compreso provvista e posa di Isolamento termo-acustico a parete in pannelli isolanti in lana minerale di vetro senza rivestimento, tipo Knauf Mineral Wool 32 o similare
</t>
    </r>
  </si>
  <si>
    <t xml:space="preserve">ARC-008.12 </t>
  </si>
  <si>
    <r>
      <rPr>
        <b val="1"/>
        <sz val="12"/>
        <color indexed="8"/>
        <rFont val="Aptos Narrow"/>
      </rPr>
      <t>Paramento 12 - pareti divisorie in cartongesso</t>
    </r>
    <r>
      <rPr>
        <sz val="12"/>
        <color indexed="8"/>
        <rFont val="Aptos Narrow"/>
      </rPr>
      <t xml:space="preserve">
</t>
    </r>
    <r>
      <rPr>
        <sz val="12"/>
        <color indexed="8"/>
        <rFont val="Aptos Narrow"/>
      </rPr>
      <t>Pareti divisorie in lastre di cartongesso dello spessore di 12,5 mm., fissate mediante viti autoperforanti a una struttura costituita da profilati in lamiera di acciaio zincato da 0,6 mm. , con montanti ad interasse di 600 mm sp 150.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due lastre di cartongesso su entrambi i lati della parete di cui una tipo idrofugo completata con materassino i  lana di vetro spess mm 80.</t>
    </r>
  </si>
  <si>
    <t>ARC-008.18</t>
  </si>
  <si>
    <r>
      <rPr>
        <b val="1"/>
        <sz val="12"/>
        <color indexed="8"/>
        <rFont val="Aptos Narrow"/>
      </rPr>
      <t>Placcatura a completamento paramenti esterni (paramento tipo 18)</t>
    </r>
    <r>
      <rPr>
        <sz val="12"/>
        <color indexed="8"/>
        <rFont val="Aptos Narrow"/>
      </rPr>
      <t xml:space="preserve">
</t>
    </r>
    <r>
      <rPr>
        <sz val="12"/>
        <color indexed="8"/>
        <rFont val="Aptos Narrow"/>
      </rPr>
      <t>Placcatura di parete, eseguita con lastra di cartongesso dello spessore di 12,5 mm., fissata mediante viti autoperforanti a una struttura costituita da profilati in lamiera di acciaio zincato da 0,6 mm. , con montanti ad interasse di 600 mm spessore 50mm per un lato e mm100 per l'altro.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doppia lastra di cartongesso di cui una di tipo ifrofugo per ciascun lato.</t>
    </r>
  </si>
  <si>
    <r>
      <rPr>
        <b val="1"/>
        <sz val="12"/>
        <color indexed="8"/>
        <rFont val="Aptos Narrow"/>
      </rPr>
      <t xml:space="preserve">Placcatura su entrambi i lati di parete, eseguita con: 
</t>
    </r>
    <r>
      <rPr>
        <b val="1"/>
        <sz val="12"/>
        <color indexed="8"/>
        <rFont val="Aptos Narrow"/>
      </rPr>
      <t xml:space="preserve">-lastra in gesso rivestito tipo Knauf GKB Advanced A) o similare (lato interno);
</t>
    </r>
    <r>
      <rPr>
        <b val="1"/>
        <sz val="12"/>
        <color indexed="8"/>
        <rFont val="Aptos Narrow"/>
      </rPr>
      <t xml:space="preserve">-Lastra in gesso fibrato tipo Knauf Vidiwall o similare (lato esterno-ambiente);
</t>
    </r>
    <r>
      <rPr>
        <sz val="12"/>
        <color indexed="8"/>
        <rFont val="Aptos Narrow"/>
      </rPr>
      <t xml:space="preserve">fissate mediante viti autoperforanti a una struttura costituita da profilati in lamiera di acciaio zincato da 0,6 mm.,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t>
    </r>
    <r>
      <rPr>
        <b val="1"/>
        <sz val="12"/>
        <color indexed="8"/>
        <rFont val="Aptos Narrow"/>
      </rPr>
      <t xml:space="preserve">
</t>
    </r>
    <r>
      <rPr>
        <b val="1"/>
        <sz val="12"/>
        <color indexed="8"/>
        <rFont val="Aptos Narrow"/>
      </rPr>
      <t xml:space="preserve">
</t>
    </r>
    <r>
      <rPr>
        <b val="1"/>
        <sz val="12"/>
        <color indexed="8"/>
        <rFont val="Aptos Narrow"/>
      </rPr>
      <t>Con aggiunta all'interno della controparte di uno dei lati (avente spessore cm 10+2.5) di pannelli costituiti da schiuma fenolica a cellule chiuse, espansa senza CFC e HCFC, rivestito su una faccia da uno strato di alluminio multistrato non traspirante e sull’altra da un alluminio multistrato microforato, tipo SUPERCEL SUPERCEL FLAMMA o similare.</t>
    </r>
  </si>
  <si>
    <t>ARC-008.33p</t>
  </si>
  <si>
    <r>
      <rPr>
        <b val="1"/>
        <sz val="12"/>
        <color indexed="8"/>
        <rFont val="Aptos Narrow"/>
      </rPr>
      <t xml:space="preserve">Paramento 33 
</t>
    </r>
    <r>
      <rPr>
        <b val="1"/>
        <sz val="12"/>
        <color indexed="8"/>
        <rFont val="Aptos Narrow"/>
      </rPr>
      <t>Muratura di pareti in blocchi di cls e argilla espansa e controparete cobentata (parziale)</t>
    </r>
    <r>
      <rPr>
        <sz val="12"/>
        <color indexed="8"/>
        <rFont val="Aptos Narrow"/>
      </rPr>
      <t xml:space="preserve"> 
</t>
    </r>
    <r>
      <rPr>
        <sz val="12"/>
        <color indexed="8"/>
        <rFont val="Aptos Narrow"/>
      </rPr>
      <t xml:space="preserve">Muratura di pareti in blocchi di cls e argilla espansa vibro-compressi non portanti eseguita con malta di cemento spessore cm 30 con faccia in vista quando richiesto completata con placcatura su uno dei lati eseguita con doppia lastra di cartongesso dello spessore di 12,5 mm. di cui una idrofuga, fissata mediante viti autoperforanti a una struttura costituita da profilati in lamiera di acciaio zincato da 0,6 mm. spessore mm100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Compreso la provvista e posa all'interno della parete di pannello in EPS spessore mm 100 e barriera al vapore in PE. 
</t>
    </r>
  </si>
  <si>
    <r>
      <rPr>
        <b val="1"/>
        <sz val="12"/>
        <color indexed="8"/>
        <rFont val="Aptos Narrow"/>
      </rPr>
      <t xml:space="preserve">Muratura di tamponamento in zona non sismica realizzata con blocchi termici in calcestruzzo alleggerito con argilla espansa Lecablocco tipo Bioclima30 o similare, </t>
    </r>
    <r>
      <rPr>
        <sz val="12"/>
        <color indexed="8"/>
        <rFont val="Aptos Narrow"/>
      </rPr>
      <t xml:space="preserve"> quando richiesto completata con:
</t>
    </r>
    <r>
      <rPr>
        <b val="1"/>
        <sz val="12"/>
        <color indexed="8"/>
        <rFont val="Aptos Narrow"/>
      </rPr>
      <t xml:space="preserve">Placcatura di parete eseguita su entrambi i lati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 xml:space="preserve">tipo Knauf Idrolastra GKI (H)  -  idrorepellente o similare
</t>
    </r>
    <r>
      <rPr>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t>
    </r>
    <r>
      <rPr>
        <sz val="12"/>
        <color indexed="8"/>
        <rFont val="Aptos Narrow"/>
      </rPr>
      <t xml:space="preserve">
</t>
    </r>
    <r>
      <rPr>
        <sz val="12"/>
        <color indexed="8"/>
        <rFont val="Aptos Narrow"/>
      </rPr>
      <t xml:space="preserve">Compreso la provvista e posa all'interno della parete di </t>
    </r>
    <r>
      <rPr>
        <b val="1"/>
        <sz val="12"/>
        <color indexed="8"/>
        <rFont val="Aptos Narrow"/>
      </rPr>
      <t>isolamento termico in pannelli costituiti da schiuma fenolica a cellule chiuse, espansa senza CFC e HCFC, rivestito su una faccia da uno strato di alluminio multistrato non traspirante e sull’altra da un alluminio multistrato microforato, tipo SUPERCEL AERIS o similare</t>
    </r>
  </si>
  <si>
    <t xml:space="preserve">ARC-008.23 </t>
  </si>
  <si>
    <r>
      <rPr>
        <b val="1"/>
        <sz val="12"/>
        <color indexed="8"/>
        <rFont val="Aptos Narrow"/>
      </rPr>
      <t>Paramento 23</t>
    </r>
    <r>
      <rPr>
        <sz val="12"/>
        <color indexed="8"/>
        <rFont val="Aptos Narrow"/>
      </rPr>
      <t xml:space="preserve">
</t>
    </r>
    <r>
      <rPr>
        <sz val="12"/>
        <color indexed="8"/>
        <rFont val="Aptos Narrow"/>
      </rPr>
      <t>Pareti divisorie in lastre di cartongesso dello spessore di 12,5 mm., fissate mediante viti autoperforanti a una struttura costituita da profilati in lamiera di acciaio zincato da 0,6 mm. , con montanti ad interasse di 600 mm sp 100.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due lastre di cartongesso su un latoi della parete di cui una di tipo idrofugo, compreso provvista e posa di materassino di lana di roccia sp mm80 .</t>
    </r>
  </si>
  <si>
    <r>
      <rPr>
        <b val="1"/>
        <sz val="12"/>
        <color indexed="8"/>
        <rFont val="Aptos Narrow"/>
      </rPr>
      <t xml:space="preserve">Controparete eseguita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 xml:space="preserve">tipo Knauf Idrolastra GKI (H)  -  idrorepellente o similare
</t>
    </r>
    <r>
      <rPr>
        <b val="1"/>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t>
    </r>
    <r>
      <rPr>
        <b val="1"/>
        <sz val="12"/>
        <color indexed="8"/>
        <rFont val="Aptos Narrow"/>
      </rPr>
      <t xml:space="preserve">
</t>
    </r>
    <r>
      <rPr>
        <b val="1"/>
        <sz val="12"/>
        <color indexed="8"/>
        <rFont val="Aptos Narrow"/>
      </rPr>
      <t>Compreso provvista e posa di Isolamento termo-acustico a parete in pannelli isolanti in lana minerale di vetro senza rivestimento, tipo Knauf Mineral Wool 32 o similare</t>
    </r>
  </si>
  <si>
    <t>ARC-008.20p</t>
  </si>
  <si>
    <r>
      <rPr>
        <b val="1"/>
        <sz val="12"/>
        <color indexed="8"/>
        <rFont val="Aptos Narrow"/>
      </rPr>
      <t>Paramento 20 (parziale) - placcatura singola</t>
    </r>
    <r>
      <rPr>
        <sz val="12"/>
        <color indexed="8"/>
        <rFont val="Aptos Narrow"/>
      </rPr>
      <t xml:space="preserve">
</t>
    </r>
    <r>
      <rPr>
        <sz val="12"/>
        <color indexed="8"/>
        <rFont val="Aptos Narrow"/>
      </rPr>
      <t>Placcatura su su uno dei lati di parete, eseguita con lastra di cartongesso dello spessore di 12,5 mm.,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doppia lastra di cartongesso di cui una di tipo ifrofugo per lato.</t>
    </r>
  </si>
  <si>
    <t xml:space="preserve">ARC-008.21p </t>
  </si>
  <si>
    <r>
      <rPr>
        <b val="1"/>
        <sz val="12"/>
        <color indexed="8"/>
        <rFont val="Aptos Narrow"/>
      </rPr>
      <t>Paramento 21 (parziale) - placcatura singola</t>
    </r>
    <r>
      <rPr>
        <sz val="12"/>
        <color indexed="8"/>
        <rFont val="Aptos Narrow"/>
      </rPr>
      <t xml:space="preserve">
</t>
    </r>
    <r>
      <rPr>
        <sz val="12"/>
        <color indexed="8"/>
        <rFont val="Aptos Narrow"/>
      </rPr>
      <t xml:space="preserve">Muratura di pareti in blocchi di cls e argilla espansa vibro-compressi non portanti eseguita con malta di cemento spessore cm 30 con faccia in vista quando richiesto completata con placcatura
</t>
    </r>
    <r>
      <rPr>
        <sz val="12"/>
        <color indexed="8"/>
        <rFont val="Aptos Narrow"/>
      </rPr>
      <t>Placcatura su uno dei lati di parete, eseguita con lastra di cartongesso dello spessore di 12,5 mm.,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</si>
  <si>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r>
      <rPr>
        <b val="1"/>
        <sz val="12"/>
        <color indexed="8"/>
        <rFont val="Aptos Narrow"/>
      </rPr>
      <t xml:space="preserve">Muratura di tamponamento in zona non sismica realizzata con blocchi termici in calcestruzzo alleggerito con argilla espansa Lecablocco tipo Bioclima30 o similare.
</t>
    </r>
    <r>
      <rPr>
        <b val="1"/>
        <sz val="12"/>
        <color indexed="8"/>
        <rFont val="Aptos Narrow"/>
      </rPr>
      <t xml:space="preserve">
</t>
    </r>
    <r>
      <rPr>
        <b val="1"/>
        <sz val="12"/>
        <color indexed="8"/>
        <rFont val="Aptos Narrow"/>
      </rPr>
      <t xml:space="preserve">Placcatura di parete eseguita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 xml:space="preserve">tipo Knauf Idrolastra GKI (H)  -  idrorepellente o similare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</si>
  <si>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r>
      <rPr>
        <b val="1"/>
        <sz val="12"/>
        <color indexed="8"/>
        <rFont val="Aptos Narrow"/>
      </rPr>
      <t>Muratura di tamponamento in zona non sismica realizzata con blocchi termici in calcestruzzo alleggerito con argilla espansa Lecablocco tipo Bioclima30 o similare,</t>
    </r>
    <r>
      <rPr>
        <sz val="12"/>
        <color indexed="8"/>
        <rFont val="Aptos Narrow"/>
      </rPr>
      <t xml:space="preserve"> 
</t>
    </r>
    <r>
      <rPr>
        <sz val="12"/>
        <color indexed="8"/>
        <rFont val="Aptos Narrow"/>
      </rPr>
      <t xml:space="preserve">completata su entrambi i lati con placcatura con doppia lastra di cartongesso dello spessore di 12,5 mm.,tipo:
</t>
    </r>
    <r>
      <rPr>
        <sz val="12"/>
        <color indexed="8"/>
        <rFont val="Aptos Narrow"/>
      </rPr>
      <t xml:space="preserve">-tipo Knauf GKB Advanced (A) o similare, spessore di 12,5 mm (lato interno)
</t>
    </r>
    <r>
      <rPr>
        <sz val="12"/>
        <color indexed="8"/>
        <rFont val="Aptos Narrow"/>
      </rPr>
      <t xml:space="preserve">-tipo Knauf Idrolastra GKI (H)  -  idrorepellente o similare
</t>
    </r>
    <r>
      <rPr>
        <sz val="12"/>
        <color indexed="8"/>
        <rFont val="Aptos Narrow"/>
      </rPr>
      <t xml:space="preserv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</si>
  <si>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t>ARC-008.19</t>
  </si>
  <si>
    <r>
      <rPr>
        <b val="1"/>
        <sz val="12"/>
        <color indexed="8"/>
        <rFont val="Aptos Narrow"/>
      </rPr>
      <t xml:space="preserve">Placcatura di parete eseguita con lastre di cartongesso
</t>
    </r>
    <r>
      <rPr>
        <b val="1"/>
        <sz val="12"/>
        <color indexed="8"/>
        <rFont val="Aptos Narrow"/>
      </rPr>
      <t xml:space="preserve">(paramento tipo 19)
</t>
    </r>
    <r>
      <rPr>
        <sz val="12"/>
        <color indexed="8"/>
        <rFont val="Aptos Narrow"/>
      </rPr>
      <t>Placcatura su entrambi i lati di parete, eseguita con lastre di cartongesso dello spessore di 12,5 mm.,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</si>
  <si>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t>"Placcatura di parete eseguita su entrambi i lati con doppia lastra di cartongesso dello spessore di 12,5 mm.,tipo:
tipo Knauf GKB Advanced (A) o similare, spessore di 12,5 mm (lato interno)
tipo Knauf Idrolastra GKI (H)  -  idrorepellente o similare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</si>
  <si>
    <t>ARC-008.21</t>
  </si>
  <si>
    <r>
      <rPr>
        <b val="1"/>
        <sz val="12"/>
        <color indexed="8"/>
        <rFont val="Aptos Narrow"/>
      </rPr>
      <t xml:space="preserve">Muratura di elementi in cls e placcatura di parete eseguita con lastre di cartongesso
</t>
    </r>
    <r>
      <rPr>
        <b val="1"/>
        <sz val="12"/>
        <color indexed="8"/>
        <rFont val="Aptos Narrow"/>
      </rPr>
      <t xml:space="preserve">(paramento tipo 21)
</t>
    </r>
    <r>
      <rPr>
        <sz val="12"/>
        <color indexed="8"/>
        <rFont val="Aptos Narrow"/>
      </rPr>
      <t xml:space="preserve">Muratura di pareti in blocchi di cls e argilla espansa vibro-compressi non portanti eseguita con malta di cemento spessore cm 30 con faccia in vista quando richiesto completata con placcatura su entrambi i lati eseguita con lastra di cartongesso dello spessore di 12,5 mm.,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t>
    </r>
    <r>
      <rPr>
        <sz val="12"/>
        <color indexed="8"/>
        <rFont val="Aptos Narrow"/>
      </rPr>
      <t xml:space="preserve">dotati di profilati metallici per il fissaggio dei serramenti. Con doppia lastra di cartongesso di cui na di tipo ifrofugo per ciascun lato. </t>
    </r>
  </si>
  <si>
    <r>
      <rPr>
        <b val="1"/>
        <sz val="12"/>
        <color indexed="8"/>
        <rFont val="Aptos Narrow"/>
      </rPr>
      <t xml:space="preserve">Muratura di tamponamento in zona non sismica realizzata con blocchi termici in calcestruzzo alleggerito con argilla espansa Lecablocco tipo Bioclima30 o similare.
</t>
    </r>
    <r>
      <rPr>
        <b val="1"/>
        <sz val="12"/>
        <color indexed="8"/>
        <rFont val="Aptos Narrow"/>
      </rPr>
      <t xml:space="preserve">
</t>
    </r>
    <r>
      <rPr>
        <b val="1"/>
        <sz val="12"/>
        <color indexed="8"/>
        <rFont val="Aptos Narrow"/>
      </rPr>
      <t xml:space="preserve">Placcatura di parete eseguita su entrambi i lati con doppia lastra di cartongesso dello spessore di 12,5 mm.,tipo:
</t>
    </r>
    <r>
      <rPr>
        <b val="1"/>
        <sz val="12"/>
        <color indexed="8"/>
        <rFont val="Aptos Narrow"/>
      </rPr>
      <t xml:space="preserve">tipo Knauf GKB Advanced (A) o similare, spessore di 12,5 mm (lato interno)
</t>
    </r>
    <r>
      <rPr>
        <b val="1"/>
        <sz val="12"/>
        <color indexed="8"/>
        <rFont val="Aptos Narrow"/>
      </rPr>
      <t xml:space="preserve">tipo Knauf Idrolastra GKI (H)  -  idrorepellente o similare
</t>
    </r>
    <r>
      <rPr>
        <sz val="12"/>
        <color indexed="8"/>
        <rFont val="Aptos Narrow"/>
      </rPr>
      <t xml:space="preserve"> fissate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t>
    </r>
  </si>
  <si>
    <t xml:space="preserve">ARC-008.20 </t>
  </si>
  <si>
    <r>
      <rPr>
        <b val="1"/>
        <sz val="12"/>
        <color indexed="8"/>
        <rFont val="Aptos Narrow"/>
      </rPr>
      <t xml:space="preserve">Placcatura di parete eseguita con lastre di cartongesso
</t>
    </r>
    <r>
      <rPr>
        <b val="1"/>
        <sz val="12"/>
        <color indexed="8"/>
        <rFont val="Aptos Narrow"/>
      </rPr>
      <t xml:space="preserve">(paramento tipo 20)
</t>
    </r>
    <r>
      <rPr>
        <sz val="12"/>
        <color indexed="8"/>
        <rFont val="Aptos Narrow"/>
      </rPr>
      <t>Placcatura su su entrambi i lati di parete, eseguita con lastra di cartongesso dello spessore di 12,5 mm.,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doppia lastra di cartongesso di cui una di tipo ifrofugo per lato.</t>
    </r>
  </si>
  <si>
    <t xml:space="preserve">ARC-008.24 </t>
  </si>
  <si>
    <r>
      <rPr>
        <b val="1"/>
        <sz val="12"/>
        <color indexed="8"/>
        <rFont val="Aptos Narrow"/>
      </rPr>
      <t xml:space="preserve">Placcatura di parete eseguita con lastre di cartongesso
</t>
    </r>
    <r>
      <rPr>
        <b val="1"/>
        <sz val="12"/>
        <color indexed="8"/>
        <rFont val="Aptos Narrow"/>
      </rPr>
      <t xml:space="preserve">(paramento 24)
</t>
    </r>
    <r>
      <rPr>
        <sz val="12"/>
        <color indexed="8"/>
        <rFont val="Aptos Narrow"/>
      </rPr>
      <t>Placcatura su entrambi i lati di parete, eseguita con lastra di cartongesso dello spessore di 12,5 mm., fissata mediante viti autoperforanti a una struttura costituita da profilati in lamiera di acciaio zincato da 0,6 mm.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Con doppia lastra di cartongesso di cui una di tipo ifrofugo per ciascun lato.</t>
    </r>
  </si>
  <si>
    <t>ARC-008.33</t>
  </si>
  <si>
    <r>
      <rPr>
        <b val="1"/>
        <sz val="12"/>
        <color indexed="8"/>
        <rFont val="Aptos Narrow"/>
      </rPr>
      <t xml:space="preserve">Muratura di pareti in blocchi di cls e argilla espansa e
</t>
    </r>
    <r>
      <rPr>
        <b val="1"/>
        <sz val="12"/>
        <color indexed="8"/>
        <rFont val="Aptos Narrow"/>
      </rPr>
      <t xml:space="preserve">controparete cobentata
</t>
    </r>
    <r>
      <rPr>
        <b val="1"/>
        <sz val="12"/>
        <color indexed="8"/>
        <rFont val="Aptos Narrow"/>
      </rPr>
      <t xml:space="preserve">(paramento tipo 33)
</t>
    </r>
    <r>
      <rPr>
        <sz val="12"/>
        <color indexed="8"/>
        <rFont val="Aptos Narrow"/>
      </rPr>
      <t>Muratura di pareti in blocchi di cls e argilla espansa vibro-compressi non portanti eseguita con malta di cemento spessore cm 30 con faccia in vista quando richiesto completata con placcatura su entrambi i lati eseguita con doppia lastra di cartongesso dello spessore di 12,5 mm. di cui una idrofuga, fissata mediante viti autoperforanti a una struttura costituita da profilati in lamiera di acciaio zincato da 0,6 mm. spessore mm100 , con montanti ad interasse di 600 mm. e guide al pavimento e soffitto fissate alle strutture. compresa la formazione degli spigoli vivi, retinati o sporgenti, la rete per la stuccatura dei giunti e la sigillatura. L'attacco con il soffitto con nastro vinilico adesivo e la formazione di eventuali vani porta e vani finestra, con i contorni dotati di profilati metallici per il fissaggio dei serramenti. Compreso la provvista e posa all'interno della parete di pannello in EPS spessore mm 100 e barriera al vapore in PE.</t>
    </r>
  </si>
  <si>
    <t xml:space="preserve">ARC-048 </t>
  </si>
  <si>
    <r>
      <rPr>
        <b val="1"/>
        <sz val="12"/>
        <color indexed="8"/>
        <rFont val="Aptos Narrow"/>
      </rPr>
      <t>Divisorio per spazio uffici</t>
    </r>
    <r>
      <rPr>
        <sz val="12"/>
        <color indexed="8"/>
        <rFont val="Aptos Narrow"/>
      </rPr>
      <t xml:space="preserve">
</t>
    </r>
    <r>
      <rPr>
        <sz val="12"/>
        <color indexed="8"/>
        <rFont val="Aptos Narrow"/>
      </rPr>
      <t>Provvista e posa di divisorio acustico a doppio vetro per creazione di spazio ufficio costituito da moduli con telaio portante con profilati di alluminio estruso e applicazione di lastra di vetro (doppia lastra di sicurezza) sull'esterno di ciascun lato del telaio stesso. La vetratura potrà essere composta con vaie tipologie di finitura, trasparente, colorata, sabbiata, pellicolata con forme e disegni di tipo commerciale, ecc, secondo richiesta della D.L.</t>
    </r>
  </si>
  <si>
    <t>Pareti divisorie tipo Fantoni I-Wallflush o similare, caratterizzato da una pulizia totale, il sistema si distingue per le linee invisibili creando una continuità di scenario che valorizza il layout degli spazi lavorativi. La stabilità e la tenuta acustica sono garantite da guarnizioni in PVC e da una speciale guarnizione in pivilene.</t>
  </si>
  <si>
    <t>STR-009</t>
  </si>
  <si>
    <t xml:space="preserve">PRESIDI VASCA BIANCA - PLATEA E  FOSSE
Platea - Presidi vasca bianca </t>
  </si>
  <si>
    <t>Accorgimenti in fase di realizzazione per migliorare le prestazioni del sistema vasca bianca:
- Incremento classe di esposizione calcestruzzo: da XC2 a XS1
- Utilizzo di lamiera per giunti rivestita in gomma butilica e waterstop idroespansivo in corrispondenza delle riprese di getto;
- Utilizzo di elementi Pentabox con integrato il nastro impermeabile per le chiamate dei getti orizzontali e verticali;
-Classe di impermeabilità 1 secondo norma SIA 272;
- Estensione della copertura assicurativa di responsabilità civile danni terzi di ulteriori 5 anni con contratto di manutenzione</t>
  </si>
  <si>
    <t>STR-010</t>
  </si>
  <si>
    <t xml:space="preserve">PRESIDI VASCA BIANCA - MURI PERIMETRALI
Muri controterra - Presidi vasca bianca </t>
  </si>
  <si>
    <t>Criterio  E</t>
  </si>
  <si>
    <t>Pavimenti</t>
  </si>
  <si>
    <t>ARC-011</t>
  </si>
  <si>
    <r>
      <rPr>
        <b val="1"/>
        <sz val="12"/>
        <color indexed="8"/>
        <rFont val="Aptos Narrow"/>
      </rPr>
      <t>Rivestimento di gres porcellanato colorato</t>
    </r>
    <r>
      <rPr>
        <sz val="12"/>
        <color indexed="8"/>
        <rFont val="Aptos Narrow"/>
      </rPr>
      <t xml:space="preserve">
</t>
    </r>
    <r>
      <rPr>
        <sz val="12"/>
        <color indexed="8"/>
        <rFont val="Aptos Narrow"/>
      </rPr>
      <t xml:space="preserve">Rivestimento di gres porcellanato colorato in massa in pi ... eciali: effetto pietra levigata: 20*20 cm, spessore 8,5 mmRivestimento di gres porcellanato colorato in massa in piastrelle rettificate, ottenute per pressatura,
</t>
    </r>
    <r>
      <rPr>
        <sz val="12"/>
        <color indexed="8"/>
        <rFont val="Aptos Narrow"/>
      </rPr>
      <t xml:space="preserve">rispondenti alla norma UNI EN 14411, classe assorbimento acqua BIa UGL, fornito e posto in opera
</t>
    </r>
    <r>
      <rPr>
        <sz val="12"/>
        <color indexed="8"/>
        <rFont val="Aptos Narrow"/>
      </rPr>
      <t xml:space="preserve">con idoneo collante, compresi tagli, sfridi e stuccature dei giunti e quanto altro: effetto pietra levigata: 20*20 cm, spessore 8,5 mm
</t>
    </r>
    <r>
      <rPr>
        <sz val="12"/>
        <color indexed="8"/>
        <rFont val="Aptos Narrow"/>
      </rPr>
      <t>(piano primo)</t>
    </r>
  </si>
  <si>
    <t>Rivestimento in piastrelle di gres fine porcellanato tipo Marazzi Block con trattamento antibatterico a base di ioni d’argento, tipo Puro Marazzi Antibacterial o similare.</t>
  </si>
  <si>
    <t xml:space="preserve">ARC-014 </t>
  </si>
  <si>
    <r>
      <rPr>
        <b val="1"/>
        <sz val="12"/>
        <color indexed="8"/>
        <rFont val="Aptos Narrow"/>
      </rPr>
      <t>Strato a finire per pavimentazioni e rivestimenti in microcemento</t>
    </r>
    <r>
      <rPr>
        <sz val="12"/>
        <color indexed="8"/>
        <rFont val="Aptos Narrow"/>
      </rPr>
      <t xml:space="preserve">
</t>
    </r>
    <r>
      <rPr>
        <sz val="12"/>
        <color indexed="8"/>
        <rFont val="Aptos Narrow"/>
      </rPr>
      <t>Realizzazione di strato a finire di pavimentazione e rivestimento pareti (microcemento) mediante di due o più mani di formulato cementizio a grana fine, di consistenza pastosa, spatolabile e di facile applicazione, con adeguate caratteristiche di resistenza all’abrasione formulato specifico base di minerali naturali a granulometria controllata, cementi, polimeri e protettivo sigillante per la realizzazione di pavimenti e rivestimenti decorativi ad alte prestazioni per ambienti interni fino a 3 mm di spessore, dal marcato effetto materico per l'aggiunta di appositi pigmenti colorati, comprendente: accurata pulizia del fondo esistente in calcestruzzo stagionato e realizzato secondo UNI EN 206-1 e/o massetto in materiali cementizi, applicazione di adatto primer epossidico da spolverare con Quarzo fino a rifiuto (specifico nel caso si renda necessaria la polimerazzione di eventuali superfici ritenute assorbenti), stesura della prima mano del prodotto, carteggiatura con specifica carta abrasiva e depolverizzazione, stesura della ulteriore mani del preparato previa stesura di promotore di adesione, stesura di mano di protezione superficiale delle superfici trattate mediante mano di fondo di formulato acrilico trasparente in dispersione con funzione di regolatore dell’assorbimento e turapori e applicazione di specifico prodotto di finitura filmogeno al fine di limitare l’assorbimento della superficie trattata e migliorarne ulteriormente la resistenza all’abrasione. Dovranno essere garantire le seguenti caratteristiche minime: resistenza meccanica a compressione N/mmq 12, resistenza a flessione N/mmq 12, resistenza all'abrasione Taber 0.5, resistenza all'abrasione Bohme 9, determinazione azione con sedia a ruote secondo EN 425 a delaminazione: nessuna, a crepe: nessuna, proprietà antiscivolo che soddisfino classe 3 DIN EN 12633-2003. Compreso, protezioni delle parti non interessate alla lavorazione , fornitura e trasporto di ogni materiale occorrente, noli per macchinari e attrezzature, protezioni, calo e tiro materiali, manodopere e presidi e quanto altro.</t>
    </r>
  </si>
  <si>
    <t>Servizi igienici:
Pavimento in piastrelle di gres fine porcellanato tipo Marazzi Block con trattamento antibatterico a base di ioni d’argento, tipo Puro Marazzi Antibacterial o similare, in grado di eliminare al 99% i batteri presenti sulla superficie ceramica.</t>
  </si>
  <si>
    <t>Uffici:
Pavimento in resina con texture spatolata colorata in pasta e finitura naturale high-performance, tipo Kerakoll Cementoresina o similare, composto da più strati a base di leganti idraulici, resine, polveri minerali e additivi specifici, per la realizzazione di pavimentazioni ad alte prestazioni estetiche e meccaniche.</t>
  </si>
  <si>
    <t>ARC-026</t>
  </si>
  <si>
    <r>
      <rPr>
        <b val="1"/>
        <sz val="12"/>
        <color indexed="8"/>
        <rFont val="Aptos Narrow"/>
      </rPr>
      <t>Cordone in lista di travertino</t>
    </r>
    <r>
      <rPr>
        <sz val="12"/>
        <color indexed="8"/>
        <rFont val="Aptos Narrow"/>
      </rPr>
      <t xml:space="preserve">
</t>
    </r>
    <r>
      <rPr>
        <sz val="12"/>
        <color indexed="8"/>
        <rFont val="Aptos Narrow"/>
      </rPr>
      <t xml:space="preserve">Provvista e posa compreso formazione letto di posa di
</t>
    </r>
    <r>
      <rPr>
        <sz val="12"/>
        <color indexed="8"/>
        <rFont val="Aptos Narrow"/>
      </rPr>
      <t>cordonato in travertino 10*25* 100, stuccato, levigato e smussato.</t>
    </r>
  </si>
  <si>
    <t xml:space="preserve">ARC-020 </t>
  </si>
  <si>
    <r>
      <rPr>
        <b val="1"/>
        <sz val="12"/>
        <color indexed="8"/>
        <rFont val="Aptos Narrow"/>
      </rPr>
      <t>Realizzazione di pavimento in pietra</t>
    </r>
    <r>
      <rPr>
        <sz val="12"/>
        <color indexed="8"/>
        <rFont val="Aptos Narrow"/>
      </rPr>
      <t xml:space="preserve">
</t>
    </r>
    <r>
      <rPr>
        <sz val="12"/>
        <color indexed="8"/>
        <rFont val="Aptos Narrow"/>
      </rPr>
      <t>Pavimento di marmo/pietra in piastrelle disposte seguendone la venatura naturale, tagliate, stuccate,calibrate, con bordi bisellati, superficie lucida, reticolo dimensionale e bicolore identico a quello già esistente in loco nel limitrofo viale,poste in opera con idoneo collante, su massetto predisposto previa accurata pulizia, con giunti connessi, delle dimensioni, di: 30 x60 cm, spessore 2 cm: travertino tagliato in falda. (N.b.: con lo stesso prezzo verrà compensata la formazione di soglie)</t>
    </r>
  </si>
  <si>
    <t>Rivestimenti</t>
  </si>
  <si>
    <t xml:space="preserve">ARC-019 </t>
  </si>
  <si>
    <r>
      <rPr>
        <b val="1"/>
        <sz val="12"/>
        <color indexed="8"/>
        <rFont val="Aptos Narrow"/>
      </rPr>
      <t xml:space="preserve">Intonaco marmorino </t>
    </r>
    <r>
      <rPr>
        <sz val="12"/>
        <color indexed="8"/>
        <rFont val="Aptos Narrow"/>
      </rPr>
      <t xml:space="preserve">su superfici piane e/o curve, or ...
</t>
    </r>
    <r>
      <rPr>
        <sz val="12"/>
        <color indexed="8"/>
        <rFont val="Aptos Narrow"/>
      </rPr>
      <t xml:space="preserve">minerali, ecc. in piu' strati, compreso lucidatura finale
</t>
    </r>
    <r>
      <rPr>
        <sz val="12"/>
        <color indexed="8"/>
        <rFont val="Aptos Narrow"/>
      </rPr>
      <t xml:space="preserve">Intonaco a base di calce su superfici piane e/o curve,
</t>
    </r>
    <r>
      <rPr>
        <sz val="12"/>
        <color indexed="8"/>
        <rFont val="Aptos Narrow"/>
      </rPr>
      <t xml:space="preserve">orizzontali o verticali, esterne o interne. “marmorini” costituito da rasatura a stucco su pareti verticali, spessore 6-7 mm, tirato lucido con ferro a caldo su intonaco rustico esistente, eseguito con miscela apposita di grassello, polvere di marmo, olio speciale,
</t>
    </r>
    <r>
      <rPr>
        <sz val="12"/>
        <color indexed="8"/>
        <rFont val="Aptos Narrow"/>
      </rPr>
      <t>colori minerali, ecc. in piu' strati, compreso lucidatura finale e compreso mano di primer per favorire l'aderenza, dato su pareti intonacate o su cartongesso.</t>
    </r>
  </si>
  <si>
    <t>Intonaco marmorino , tipo Kerakoll Biocalce Marmorino o similare.
Accorgimenti nel mix design dell’intonaco per migliorare le prestazioni del rivestimento</t>
  </si>
  <si>
    <t>Controsoffitti</t>
  </si>
  <si>
    <t>ARC-018</t>
  </si>
  <si>
    <r>
      <rPr>
        <b val="1"/>
        <sz val="12"/>
        <color indexed="8"/>
        <rFont val="Aptos Narrow"/>
      </rPr>
      <t xml:space="preserve">Controsoffitto in lastre di cartongesso </t>
    </r>
    <r>
      <rPr>
        <sz val="12"/>
        <color indexed="8"/>
        <rFont val="Aptos Narrow"/>
      </rPr>
      <t xml:space="preserve">
</t>
    </r>
    <r>
      <rPr>
        <sz val="12"/>
        <color indexed="8"/>
        <rFont val="Aptos Narrow"/>
      </rPr>
      <t>Controsoffitto in lastre di cartongesso, fissate mediante viti autoperforanti ad una struttura costituita da profilati in lamiera di acciaio zincato sorretto da pendinature, dello spessore di 6/10 mm. ad interasse di 600 mm.; compreso la fornitura e posa della struttura e la stuccatura dei giunti. spessore lastra in cartongesso mm. 12,5. E' compreso e compensata la formazione di botole apribili in ragione del 5% della superficie.</t>
    </r>
  </si>
  <si>
    <t>Uffici: Controsoffitto continuo in lastre in gesso rivestito con decoro costituito da foratura continua regolare, tipo Gyproc Rigitone® Edge 12/25 Q Activ’Air o similare</t>
  </si>
  <si>
    <t>Servizi igienici: Controsoffitto in pannelli in lana di roccia con struttura semi-nascosta tipo Rockfon CleanSpace Pro Gamma o similare</t>
  </si>
  <si>
    <t>Sale meeting, spazi comuni e aree relax: Sistema monolitico composto da pannello continuo in lana di roccia (25 mm), tipo Rockfon Mono Acoustic o similare</t>
  </si>
  <si>
    <t>Distributivo: Controsoffitto in pannello in lana di roccia (40 mm) faccia a vista tipo Rockfon Blanka Activity o similare</t>
  </si>
  <si>
    <t>Verniciature</t>
  </si>
  <si>
    <t xml:space="preserve">TOS24_01.F04.004.004 </t>
  </si>
  <si>
    <r>
      <rPr>
        <sz val="12"/>
        <color indexed="8"/>
        <rFont val="Aptos Narrow"/>
      </rPr>
      <t xml:space="preserve">Verniciatura per interni su intonaco o cartongesso con
</t>
    </r>
    <r>
      <rPr>
        <b val="1"/>
        <sz val="12"/>
        <color indexed="8"/>
        <rFont val="Aptos Narrow"/>
      </rPr>
      <t>idropittura lavabile</t>
    </r>
    <r>
      <rPr>
        <sz val="12"/>
        <color indexed="8"/>
        <rFont val="Aptos Narrow"/>
      </rPr>
      <t xml:space="preserve"> previa mano di fissativo</t>
    </r>
  </si>
  <si>
    <t>Idropittura a base di legante acrilico, ioni d’argento e di pigmenti e cariche selezionate, tipo Sikkens Alpha SanoProtex o similare</t>
  </si>
  <si>
    <t>ARC-013</t>
  </si>
  <si>
    <r>
      <rPr>
        <b val="1"/>
        <sz val="12"/>
        <color indexed="8"/>
        <rFont val="Aptos Narrow"/>
      </rPr>
      <t xml:space="preserve">Realizzazione di pittura murale con smalto ad acqua
</t>
    </r>
    <r>
      <rPr>
        <b val="1"/>
        <sz val="12"/>
        <color indexed="8"/>
        <rFont val="Aptos Narrow"/>
      </rPr>
      <t xml:space="preserve">(su superficie intonacate precostituite o cartongesso)
</t>
    </r>
    <r>
      <rPr>
        <sz val="12"/>
        <color indexed="8"/>
        <rFont val="Aptos Narrow"/>
      </rPr>
      <t>Realizzazione di pittura murale con smalto ad acqua, privo di componenti organici volatili, finitura opaca (su superficie intonacate precostituite o cartongesso) previa mano primer ancorante</t>
    </r>
  </si>
  <si>
    <t>Pittura minerale silicato a base di silicati di potassio stabilizzati,  (contenuto di legante organico &lt;5%) a elevata resistenza e traspirabilità, prodotta secondo la normativa DIN EN 13300, tipo KEIM Optil o similare</t>
  </si>
  <si>
    <t>Varie</t>
  </si>
  <si>
    <t xml:space="preserve">ARC-016 </t>
  </si>
  <si>
    <r>
      <rPr>
        <b val="1"/>
        <sz val="12"/>
        <color indexed="8"/>
        <rFont val="Aptos Narrow"/>
      </rPr>
      <t xml:space="preserve">parapetto in vetro per scale </t>
    </r>
    <r>
      <rPr>
        <sz val="12"/>
        <color indexed="8"/>
        <rFont val="Aptos Narrow"/>
      </rPr>
      <t xml:space="preserve">
</t>
    </r>
    <r>
      <rPr>
        <sz val="12"/>
        <color indexed="8"/>
        <rFont val="Aptos Narrow"/>
      </rPr>
      <t>Provvista e posa in opera di parapetto per scale realizzato interamente in vetro temperato stratificato 10+10mm con pellicola rigida SGp con attacchi puntuali alla struttura portante mediante pezzi speciali in acciaio inox inghisati nella struttura portante tipo mod Allba della Faraone in opera in conformità alle disposizioni del DM 14/01/ 2004 e corrispondenti normative UNI 7697/2015 e secondo DT- 210/2013 del CNR atta a garantire le resistenze previste per la categoria C3 dello stesso DM. Il tutto realizzato e ancorato come prescritto nei grafici di progetto e secondo scheda tecnica del costruttore/fornitore: h da quota scalino e pavimento cm 110</t>
    </r>
  </si>
  <si>
    <t xml:space="preserve">ARC-023 </t>
  </si>
  <si>
    <r>
      <rPr>
        <b val="1"/>
        <sz val="12"/>
        <color indexed="8"/>
        <rFont val="Aptos Narrow"/>
      </rPr>
      <t>Balaustra in vetro provvista e posa</t>
    </r>
    <r>
      <rPr>
        <sz val="12"/>
        <color indexed="8"/>
        <rFont val="Aptos Narrow"/>
      </rPr>
      <t xml:space="preserve">
</t>
    </r>
    <r>
      <rPr>
        <sz val="12"/>
        <color indexed="8"/>
        <rFont val="Aptos Narrow"/>
      </rPr>
      <t>Provvista e posa di balaustra costruita interamente in vetro temperato stratificato di sicurezza retta da apposito supporto metallico posto alla abse della stessa balaustra ancorato nella struttura mediante inghisaggi tipo mod NINFA della Faraone in opera in conformità alle disposizioni del DM 14/01/2004 e corrispondenti normative UNI 7697/2015 e secondo DT-210/ 2013 del CNR atta a garantire le resistenze previste per la categoria C3 dello stesso DM. Il tutto realizzato e ancorato come prescritto nei grafici di progetto e secondo scheda tecnica del costruttore/fornitore e soggetto a apposito collaudo finale: h da quota pavimento finito cm 120</t>
    </r>
  </si>
  <si>
    <t>Criterio  F</t>
  </si>
  <si>
    <t>STR-012</t>
  </si>
  <si>
    <t>Lastra prefabbricata in cemento
SOVRAPPREZZO PARETI  PREFABBRICATE
Muro prefabbricato - Sovrapprezzo finitura</t>
  </si>
  <si>
    <t>Pannello di rivestimento in fibrocemento ad alta densità ecologico, composto da cemento Portland, cellulosa, fibre minerali e acqua, tipo Equitone Natura Pro o similare</t>
  </si>
  <si>
    <t>Vetro micropallinato</t>
  </si>
  <si>
    <t>Criterio  G</t>
  </si>
  <si>
    <t>Non previsto</t>
  </si>
  <si>
    <t>Sistema di monitoraggio ambientale tipo Eversense Rivetta Sistemi</t>
  </si>
  <si>
    <t>Sistema di controllo accessi tipo Eversafe di Rivetta sistemi</t>
  </si>
  <si>
    <t>Comunicazione del cantiere: infografica, cartellonistica, schermi LEDWALL</t>
  </si>
  <si>
    <t>M:002.014</t>
  </si>
  <si>
    <t>Strutture in calcestruzzo</t>
  </si>
  <si>
    <t>Sistema prefabbricato tipo NPS CORE Tecnostrutture o similare</t>
  </si>
</sst>
</file>

<file path=xl/styles.xml><?xml version="1.0" encoding="utf-8"?>
<styleSheet xmlns="http://schemas.openxmlformats.org/spreadsheetml/2006/main">
  <numFmts count="1">
    <numFmt numFmtId="0" formatCode="General"/>
  </numFmts>
  <fonts count="9">
    <font>
      <sz val="12"/>
      <color indexed="8"/>
      <name val="Aptos Narrow"/>
    </font>
    <font>
      <sz val="12"/>
      <color indexed="8"/>
      <name val="Helvetica Neue"/>
    </font>
    <font>
      <sz val="15"/>
      <color indexed="8"/>
      <name val="Calibri"/>
    </font>
    <font>
      <b val="1"/>
      <sz val="12"/>
      <color indexed="8"/>
      <name val="Aptos Narrow"/>
    </font>
    <font>
      <b val="1"/>
      <sz val="16"/>
      <color indexed="8"/>
      <name val="Aptos Narrow"/>
    </font>
    <font>
      <b val="1"/>
      <sz val="14"/>
      <color indexed="8"/>
      <name val="Aptos Narrow"/>
    </font>
    <font>
      <sz val="12"/>
      <color indexed="9"/>
      <name val="Aptos Narrow"/>
    </font>
    <font>
      <b val="1"/>
      <sz val="12"/>
      <color indexed="9"/>
      <name val="Aptos Narrow"/>
    </font>
    <font>
      <sz val="12"/>
      <color indexed="15"/>
      <name val="Aptos Narrow (Corpo)"/>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5"/>
        <bgColor auto="1"/>
      </patternFill>
    </fill>
  </fills>
  <borders count="11">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19"/>
      </bottom>
      <diagonal/>
    </border>
    <border>
      <left style="thin">
        <color indexed="8"/>
      </left>
      <right style="thin">
        <color indexed="8"/>
      </right>
      <top style="thin">
        <color indexed="19"/>
      </top>
      <bottom style="thin">
        <color indexed="8"/>
      </bottom>
      <diagonal/>
    </border>
    <border>
      <left style="thin">
        <color indexed="8"/>
      </left>
      <right style="thin">
        <color indexed="8"/>
      </right>
      <top style="thin">
        <color indexed="19"/>
      </top>
      <bottom style="thin">
        <color indexed="19"/>
      </bottom>
      <diagonal/>
    </border>
    <border>
      <left style="thin">
        <color indexed="19"/>
      </left>
      <right style="thin">
        <color indexed="19"/>
      </right>
      <top style="thin">
        <color indexed="8"/>
      </top>
      <bottom style="thin">
        <color indexed="8"/>
      </bottom>
      <diagonal/>
    </border>
    <border>
      <left style="thin">
        <color indexed="19"/>
      </left>
      <right style="thin">
        <color indexed="19"/>
      </right>
      <top style="thin">
        <color indexed="8"/>
      </top>
      <bottom style="thin">
        <color indexed="19"/>
      </bottom>
      <diagonal/>
    </border>
  </borders>
  <cellStyleXfs count="1">
    <xf numFmtId="0" fontId="0" applyNumberFormat="0" applyFont="1" applyFill="0" applyBorder="0" applyAlignment="1" applyProtection="0">
      <alignment vertical="bottom"/>
    </xf>
  </cellStyleXfs>
  <cellXfs count="4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3" fillId="3" borderId="1" applyNumberFormat="1" applyFont="1" applyFill="1" applyBorder="1" applyAlignment="1" applyProtection="0">
      <alignment horizontal="center" vertical="center" wrapText="1"/>
    </xf>
    <xf numFmtId="49" fontId="4" fillId="4" borderId="2" applyNumberFormat="1" applyFont="1" applyFill="1" applyBorder="1" applyAlignment="1" applyProtection="0">
      <alignment vertical="top"/>
    </xf>
    <xf numFmtId="0" fontId="0" fillId="4" borderId="3" applyNumberFormat="0" applyFont="1" applyFill="1" applyBorder="1" applyAlignment="1" applyProtection="0">
      <alignment horizontal="left" vertical="top"/>
    </xf>
    <xf numFmtId="0" fontId="3" fillId="4" borderId="3" applyNumberFormat="0" applyFont="1" applyFill="1" applyBorder="1" applyAlignment="1" applyProtection="0">
      <alignment horizontal="left" vertical="top" wrapText="1"/>
    </xf>
    <xf numFmtId="49" fontId="5" fillId="5" borderId="2" applyNumberFormat="1" applyFont="1" applyFill="1" applyBorder="1" applyAlignment="1" applyProtection="0">
      <alignment horizontal="left" vertical="top"/>
    </xf>
    <xf numFmtId="0" fontId="5" fillId="5" borderId="3" applyNumberFormat="0" applyFont="1" applyFill="1" applyBorder="1" applyAlignment="1" applyProtection="0">
      <alignment horizontal="left" vertical="top"/>
    </xf>
    <xf numFmtId="0" fontId="0" fillId="2" borderId="1" applyNumberFormat="0" applyFont="1" applyFill="1" applyBorder="1" applyAlignment="1" applyProtection="0">
      <alignment vertical="top" wrapText="1"/>
    </xf>
    <xf numFmtId="4" fontId="0" fillId="2" borderId="1" applyNumberFormat="1" applyFont="1" applyFill="1" applyBorder="1" applyAlignment="1" applyProtection="0">
      <alignment horizontal="right" vertical="top"/>
    </xf>
    <xf numFmtId="49" fontId="3" fillId="3" borderId="1" applyNumberFormat="1" applyFont="1" applyFill="1" applyBorder="1" applyAlignment="1" applyProtection="0">
      <alignment horizontal="left" vertical="top" wrapText="1"/>
    </xf>
    <xf numFmtId="0" fontId="6" fillId="6" borderId="2" applyNumberFormat="0" applyFont="1" applyFill="1" applyBorder="1" applyAlignment="1" applyProtection="0">
      <alignment horizontal="left" vertical="top" wrapText="1"/>
    </xf>
    <xf numFmtId="0" fontId="6" fillId="6" borderId="3" applyNumberFormat="0" applyFont="1" applyFill="1" applyBorder="1" applyAlignment="1" applyProtection="0">
      <alignment horizontal="left" vertical="top" wrapText="1"/>
    </xf>
    <xf numFmtId="4" fontId="6" fillId="6" borderId="3" applyNumberFormat="1" applyFont="1" applyFill="1" applyBorder="1" applyAlignment="1" applyProtection="0">
      <alignment horizontal="right" vertical="top"/>
    </xf>
    <xf numFmtId="0" fontId="7" fillId="6" borderId="3" applyNumberFormat="0" applyFont="1" applyFill="1" applyBorder="1" applyAlignment="1" applyProtection="0">
      <alignment horizontal="left" vertical="top" wrapText="1"/>
    </xf>
    <xf numFmtId="49" fontId="0" fillId="2" borderId="1" applyNumberFormat="1" applyFont="1" applyFill="1" applyBorder="1" applyAlignment="1" applyProtection="0">
      <alignment vertical="top" wrapText="1"/>
    </xf>
    <xf numFmtId="49" fontId="3" fillId="3" borderId="4" applyNumberFormat="1" applyFont="1" applyFill="1" applyBorder="1" applyAlignment="1" applyProtection="0">
      <alignment horizontal="left" vertical="top" wrapText="1"/>
    </xf>
    <xf numFmtId="0" fontId="3" fillId="3" borderId="5" applyNumberFormat="0" applyFont="1" applyFill="1" applyBorder="1" applyAlignment="1" applyProtection="0">
      <alignment horizontal="left" vertical="top" wrapText="1"/>
    </xf>
    <xf numFmtId="49" fontId="0" fillId="7" borderId="1" applyNumberFormat="1" applyFont="1" applyFill="1" applyBorder="1" applyAlignment="1" applyProtection="0">
      <alignment vertical="top" wrapText="1"/>
    </xf>
    <xf numFmtId="49" fontId="3" fillId="2" borderId="1" applyNumberFormat="1" applyFont="1" applyFill="1" applyBorder="1" applyAlignment="1" applyProtection="0">
      <alignment horizontal="left" vertical="top" wrapText="1"/>
    </xf>
    <xf numFmtId="49" fontId="0" fillId="8" borderId="1" applyNumberFormat="1" applyFont="1" applyFill="1" applyBorder="1" applyAlignment="1" applyProtection="0">
      <alignment vertical="top" wrapText="1"/>
    </xf>
    <xf numFmtId="49" fontId="0" fillId="9" borderId="1" applyNumberFormat="1" applyFont="1" applyFill="1" applyBorder="1" applyAlignment="1" applyProtection="0">
      <alignment vertical="top" wrapText="1"/>
    </xf>
    <xf numFmtId="49" fontId="0" fillId="4" borderId="1" applyNumberFormat="1" applyFont="1" applyFill="1" applyBorder="1" applyAlignment="1" applyProtection="0">
      <alignment vertical="top" wrapText="1"/>
    </xf>
    <xf numFmtId="49" fontId="0" fillId="10" borderId="1" applyNumberFormat="1" applyFont="1" applyFill="1" applyBorder="1" applyAlignment="1" applyProtection="0">
      <alignment vertical="top" wrapText="1"/>
    </xf>
    <xf numFmtId="49" fontId="0" fillId="2" borderId="6" applyNumberFormat="1" applyFont="1" applyFill="1" applyBorder="1" applyAlignment="1" applyProtection="0">
      <alignment vertical="top" wrapText="1"/>
    </xf>
    <xf numFmtId="4" fontId="0" fillId="2" borderId="6" applyNumberFormat="1" applyFont="1" applyFill="1" applyBorder="1" applyAlignment="1" applyProtection="0">
      <alignment horizontal="right" vertical="top"/>
    </xf>
    <xf numFmtId="0" fontId="0" fillId="2" borderId="7" applyNumberFormat="0" applyFont="1" applyFill="1" applyBorder="1" applyAlignment="1" applyProtection="0">
      <alignment vertical="top" wrapText="1"/>
    </xf>
    <xf numFmtId="4" fontId="0" fillId="2" borderId="7" applyNumberFormat="1" applyFont="1" applyFill="1" applyBorder="1" applyAlignment="1" applyProtection="0">
      <alignment horizontal="right" vertical="top"/>
    </xf>
    <xf numFmtId="0" fontId="3" fillId="3" borderId="1" applyNumberFormat="0" applyFont="1" applyFill="1" applyBorder="1" applyAlignment="1" applyProtection="0">
      <alignment horizontal="left" vertical="top" wrapText="1"/>
    </xf>
    <xf numFmtId="4" fontId="0" fillId="2" borderId="6" applyNumberFormat="1" applyFont="1" applyFill="1" applyBorder="1" applyAlignment="1" applyProtection="0">
      <alignment horizontal="center" vertical="top"/>
    </xf>
    <xf numFmtId="0" fontId="0" fillId="2" borderId="8" applyNumberFormat="0" applyFont="1" applyFill="1" applyBorder="1" applyAlignment="1" applyProtection="0">
      <alignment vertical="top" wrapText="1"/>
    </xf>
    <xf numFmtId="4" fontId="0" fillId="2" borderId="8" applyNumberFormat="1" applyFont="1" applyFill="1" applyBorder="1" applyAlignment="1" applyProtection="0">
      <alignment horizontal="center" vertical="top"/>
    </xf>
    <xf numFmtId="4" fontId="0" fillId="2" borderId="7" applyNumberFormat="1" applyFont="1" applyFill="1" applyBorder="1" applyAlignment="1" applyProtection="0">
      <alignment horizontal="center" vertical="top"/>
    </xf>
    <xf numFmtId="0" fontId="0" fillId="2" borderId="9" applyNumberFormat="0" applyFont="1" applyFill="1" applyBorder="1" applyAlignment="1" applyProtection="0">
      <alignment vertical="top" wrapText="1"/>
    </xf>
    <xf numFmtId="0" fontId="0" fillId="2" borderId="9" applyNumberFormat="0" applyFont="1" applyFill="1" applyBorder="1" applyAlignment="1" applyProtection="0">
      <alignment vertical="top"/>
    </xf>
    <xf numFmtId="0" fontId="6" fillId="11" borderId="2" applyNumberFormat="0" applyFont="1" applyFill="1" applyBorder="1" applyAlignment="1" applyProtection="0">
      <alignment horizontal="left" vertical="top" wrapText="1"/>
    </xf>
    <xf numFmtId="0" fontId="6" fillId="11" borderId="3" applyNumberFormat="0" applyFont="1" applyFill="1" applyBorder="1" applyAlignment="1" applyProtection="0">
      <alignment horizontal="left" vertical="top" wrapText="1"/>
    </xf>
    <xf numFmtId="4" fontId="6" fillId="11" borderId="3" applyNumberFormat="1" applyFont="1" applyFill="1" applyBorder="1" applyAlignment="1" applyProtection="0">
      <alignment horizontal="right" vertical="top"/>
    </xf>
    <xf numFmtId="0" fontId="7" fillId="11" borderId="3" applyNumberFormat="0" applyFont="1" applyFill="1" applyBorder="1" applyAlignment="1" applyProtection="0">
      <alignment horizontal="left" vertical="top" wrapText="1"/>
    </xf>
    <xf numFmtId="0" fontId="0" fillId="2" borderId="10" applyNumberFormat="0" applyFont="1" applyFill="1" applyBorder="1" applyAlignment="1" applyProtection="0">
      <alignment vertical="top" wrapText="1"/>
    </xf>
    <xf numFmtId="0" fontId="0" fillId="2" borderId="10" applyNumberFormat="0"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dbedd5"/>
      <rgbColor rgb="ffebd4e9"/>
      <rgbColor rgb="ffb8dbab"/>
      <rgbColor rgb="ff196b24"/>
      <rgbColor rgb="fffae2d5"/>
      <rgbColor rgb="ffc00000"/>
      <rgbColor rgb="ffceebf6"/>
      <rgbColor rgb="ffd0dfe5"/>
      <rgbColor rgb="ffd0e1d3"/>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Tema di Office">
  <a:themeElements>
    <a:clrScheme name="Tema di 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Tema di Office">
      <a:majorFont>
        <a:latin typeface="Helvetica Neue"/>
        <a:ea typeface="Helvetica Neue"/>
        <a:cs typeface="Helvetica Neue"/>
      </a:majorFont>
      <a:minorFont>
        <a:latin typeface="Helvetica Neue"/>
        <a:ea typeface="Helvetica Neue"/>
        <a:cs typeface="Helvetica Neue"/>
      </a:minorFont>
    </a:fontScheme>
    <a:fmtScheme name="Tema di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D102"/>
  <sheetViews>
    <sheetView workbookViewId="0" showGridLines="0" defaultGridColor="1"/>
  </sheetViews>
  <sheetFormatPr defaultColWidth="10.8333" defaultRowHeight="16" customHeight="1" outlineLevelRow="0" outlineLevelCol="0"/>
  <cols>
    <col min="1" max="1" width="10.8516" style="1" customWidth="1"/>
    <col min="2" max="2" width="80.0859" style="1" customWidth="1"/>
    <col min="3" max="3" width="15.8516" style="1" customWidth="1"/>
    <col min="4" max="4" width="73.1719" style="1" customWidth="1"/>
    <col min="5" max="16384" width="10.8516" style="1" customWidth="1"/>
  </cols>
  <sheetData>
    <row r="1" ht="34" customHeight="1">
      <c r="A1" t="s" s="2">
        <v>0</v>
      </c>
      <c r="B1" t="s" s="2">
        <v>1</v>
      </c>
      <c r="C1" t="s" s="2">
        <v>2</v>
      </c>
      <c r="D1" t="s" s="3">
        <v>3</v>
      </c>
    </row>
    <row r="2" ht="22" customHeight="1">
      <c r="A2" t="s" s="4">
        <v>4</v>
      </c>
      <c r="B2" s="5"/>
      <c r="C2" s="5"/>
      <c r="D2" s="6"/>
    </row>
    <row r="3" ht="19" customHeight="1">
      <c r="A3" t="s" s="7">
        <v>5</v>
      </c>
      <c r="B3" s="8"/>
      <c r="C3" s="8"/>
      <c r="D3" s="8"/>
    </row>
    <row r="4" ht="17" customHeight="1">
      <c r="A4" s="9"/>
      <c r="B4" s="9"/>
      <c r="C4" s="10"/>
      <c r="D4" t="s" s="11">
        <v>6</v>
      </c>
    </row>
    <row r="5" ht="19" customHeight="1">
      <c r="A5" t="s" s="7">
        <v>7</v>
      </c>
      <c r="B5" s="8"/>
      <c r="C5" s="8"/>
      <c r="D5" s="8"/>
    </row>
    <row r="6" ht="17" customHeight="1">
      <c r="A6" s="9"/>
      <c r="B6" s="9"/>
      <c r="C6" s="10"/>
      <c r="D6" t="s" s="11">
        <v>8</v>
      </c>
    </row>
    <row r="7" ht="19" customHeight="1">
      <c r="A7" s="12"/>
      <c r="B7" s="13"/>
      <c r="C7" s="14"/>
      <c r="D7" s="15"/>
    </row>
    <row r="8" ht="22" customHeight="1">
      <c r="A8" t="s" s="4">
        <v>9</v>
      </c>
      <c r="B8" s="5"/>
      <c r="C8" s="5"/>
      <c r="D8" s="6"/>
    </row>
    <row r="9" ht="19" customHeight="1">
      <c r="A9" t="s" s="7">
        <v>10</v>
      </c>
      <c r="B9" s="8"/>
      <c r="C9" s="8"/>
      <c r="D9" s="8"/>
    </row>
    <row r="10" ht="17" customHeight="1">
      <c r="A10" s="9"/>
      <c r="B10" s="9"/>
      <c r="C10" s="10"/>
      <c r="D10" t="s" s="11">
        <v>11</v>
      </c>
    </row>
    <row r="11" ht="19" customHeight="1">
      <c r="A11" t="s" s="7">
        <v>12</v>
      </c>
      <c r="B11" s="8"/>
      <c r="C11" s="8"/>
      <c r="D11" s="8"/>
    </row>
    <row r="12" ht="17" customHeight="1">
      <c r="A12" s="9"/>
      <c r="B12" s="9"/>
      <c r="C12" s="10"/>
      <c r="D12" t="s" s="11">
        <v>13</v>
      </c>
    </row>
    <row r="13" ht="19" customHeight="1">
      <c r="A13" s="12"/>
      <c r="B13" s="13"/>
      <c r="C13" s="14"/>
      <c r="D13" s="15"/>
    </row>
    <row r="14" ht="22" customHeight="1">
      <c r="A14" t="s" s="4">
        <v>14</v>
      </c>
      <c r="B14" s="5"/>
      <c r="C14" s="5"/>
      <c r="D14" s="6"/>
    </row>
    <row r="15" ht="19" customHeight="1">
      <c r="A15" t="s" s="7">
        <v>15</v>
      </c>
      <c r="B15" s="8"/>
      <c r="C15" s="8"/>
      <c r="D15" s="8"/>
    </row>
    <row r="16" ht="17" customHeight="1">
      <c r="A16" t="s" s="16">
        <v>16</v>
      </c>
      <c r="B16" t="s" s="16">
        <v>17</v>
      </c>
      <c r="C16" s="10"/>
      <c r="D16" t="s" s="17">
        <v>18</v>
      </c>
    </row>
    <row r="17" ht="17" customHeight="1">
      <c r="A17" t="s" s="16">
        <v>19</v>
      </c>
      <c r="B17" t="s" s="16">
        <v>20</v>
      </c>
      <c r="C17" s="10"/>
      <c r="D17" s="18"/>
    </row>
    <row r="18" ht="19" customHeight="1">
      <c r="A18" t="s" s="7">
        <v>21</v>
      </c>
      <c r="B18" s="8"/>
      <c r="C18" s="8"/>
      <c r="D18" s="8"/>
    </row>
    <row r="19" ht="102" customHeight="1">
      <c r="A19" t="s" s="16">
        <v>22</v>
      </c>
      <c r="B19" t="s" s="16">
        <v>23</v>
      </c>
      <c r="C19" s="10">
        <v>50</v>
      </c>
      <c r="D19" t="s" s="11">
        <v>24</v>
      </c>
    </row>
    <row r="20" ht="19" customHeight="1">
      <c r="A20" s="12"/>
      <c r="B20" s="13"/>
      <c r="C20" s="14"/>
      <c r="D20" s="15"/>
    </row>
    <row r="21" ht="22" customHeight="1">
      <c r="A21" t="s" s="4">
        <v>25</v>
      </c>
      <c r="B21" s="5"/>
      <c r="C21" s="5"/>
      <c r="D21" s="6"/>
    </row>
    <row r="22" ht="19" customHeight="1">
      <c r="A22" t="s" s="7">
        <v>26</v>
      </c>
      <c r="B22" s="8"/>
      <c r="C22" s="8"/>
      <c r="D22" s="8"/>
    </row>
    <row r="23" ht="102" customHeight="1">
      <c r="A23" t="s" s="19">
        <v>27</v>
      </c>
      <c r="B23" t="s" s="16">
        <v>28</v>
      </c>
      <c r="C23" s="10">
        <v>166.65</v>
      </c>
      <c r="D23" t="s" s="11">
        <v>29</v>
      </c>
    </row>
    <row r="24" ht="409.6" customHeight="1">
      <c r="A24" t="s" s="19">
        <v>30</v>
      </c>
      <c r="B24" t="s" s="16">
        <v>31</v>
      </c>
      <c r="C24" s="10">
        <v>161.03</v>
      </c>
      <c r="D24" t="s" s="11">
        <v>32</v>
      </c>
    </row>
    <row r="25" ht="238" customHeight="1">
      <c r="A25" t="s" s="19">
        <v>33</v>
      </c>
      <c r="B25" t="s" s="16">
        <v>34</v>
      </c>
      <c r="C25" s="10">
        <v>87.92</v>
      </c>
      <c r="D25" t="s" s="11">
        <v>35</v>
      </c>
    </row>
    <row r="26" ht="388" customHeight="1">
      <c r="A26" t="s" s="19">
        <v>36</v>
      </c>
      <c r="B26" t="s" s="16">
        <v>37</v>
      </c>
      <c r="C26" s="10">
        <v>12.6</v>
      </c>
      <c r="D26" t="s" s="11">
        <v>38</v>
      </c>
    </row>
    <row r="27" ht="388" customHeight="1">
      <c r="A27" t="s" s="19">
        <v>39</v>
      </c>
      <c r="B27" t="s" s="16">
        <v>40</v>
      </c>
      <c r="C27" s="10">
        <v>37.52</v>
      </c>
      <c r="D27" t="s" s="11">
        <v>41</v>
      </c>
    </row>
    <row r="28" ht="340" customHeight="1">
      <c r="A28" t="s" s="19">
        <v>42</v>
      </c>
      <c r="B28" t="s" s="16">
        <v>43</v>
      </c>
      <c r="C28" s="10">
        <v>11.06</v>
      </c>
      <c r="D28" t="s" s="11">
        <v>44</v>
      </c>
    </row>
    <row r="29" ht="289" customHeight="1">
      <c r="A29" t="s" s="19">
        <v>45</v>
      </c>
      <c r="B29" t="s" s="16">
        <v>46</v>
      </c>
      <c r="C29" s="10">
        <v>14.28</v>
      </c>
      <c r="D29" t="s" s="11">
        <v>44</v>
      </c>
    </row>
    <row r="30" ht="102" customHeight="1">
      <c r="A30" t="s" s="19">
        <v>47</v>
      </c>
      <c r="B30" t="s" s="16">
        <v>48</v>
      </c>
      <c r="C30" s="10">
        <v>15.54</v>
      </c>
      <c r="D30" t="s" s="11">
        <v>49</v>
      </c>
    </row>
    <row r="31" ht="306" customHeight="1">
      <c r="A31" t="s" s="19">
        <v>50</v>
      </c>
      <c r="B31" t="s" s="16">
        <v>51</v>
      </c>
      <c r="C31" s="10">
        <v>40.5</v>
      </c>
      <c r="D31" t="s" s="11">
        <v>52</v>
      </c>
    </row>
    <row r="32" ht="255" customHeight="1">
      <c r="A32" t="s" s="19">
        <v>53</v>
      </c>
      <c r="B32" t="s" s="16">
        <v>54</v>
      </c>
      <c r="C32" s="10">
        <v>13.72</v>
      </c>
      <c r="D32" t="s" s="11">
        <v>55</v>
      </c>
    </row>
    <row r="33" ht="356" customHeight="1">
      <c r="A33" t="s" s="19">
        <v>56</v>
      </c>
      <c r="B33" t="s" s="16">
        <v>57</v>
      </c>
      <c r="C33" s="10">
        <v>11.4</v>
      </c>
      <c r="D33" t="s" s="11">
        <v>58</v>
      </c>
    </row>
    <row r="34" ht="372" customHeight="1">
      <c r="A34" t="s" s="19">
        <v>59</v>
      </c>
      <c r="B34" t="s" s="20">
        <v>60</v>
      </c>
      <c r="C34" s="10">
        <v>41.44</v>
      </c>
      <c r="D34" t="s" s="11">
        <v>61</v>
      </c>
    </row>
    <row r="35" ht="372" customHeight="1">
      <c r="A35" t="s" s="19">
        <v>62</v>
      </c>
      <c r="B35" t="s" s="16">
        <v>63</v>
      </c>
      <c r="C35" s="10">
        <v>35.84</v>
      </c>
      <c r="D35" t="s" s="11">
        <v>61</v>
      </c>
    </row>
    <row r="36" ht="238" customHeight="1">
      <c r="A36" t="s" s="21">
        <v>33</v>
      </c>
      <c r="B36" t="s" s="16">
        <v>34</v>
      </c>
      <c r="C36" s="10">
        <v>69.29000000000001</v>
      </c>
      <c r="D36" t="s" s="11">
        <v>35</v>
      </c>
    </row>
    <row r="37" ht="272" customHeight="1">
      <c r="A37" t="s" s="21">
        <v>64</v>
      </c>
      <c r="B37" t="s" s="16">
        <v>65</v>
      </c>
      <c r="C37" s="10">
        <v>61.03</v>
      </c>
      <c r="D37" t="s" s="11">
        <v>35</v>
      </c>
    </row>
    <row r="38" ht="388" customHeight="1">
      <c r="A38" t="s" s="21">
        <v>36</v>
      </c>
      <c r="B38" t="s" s="16">
        <v>37</v>
      </c>
      <c r="C38" s="10">
        <v>114.6</v>
      </c>
      <c r="D38" t="s" s="11">
        <v>66</v>
      </c>
    </row>
    <row r="39" ht="388" customHeight="1">
      <c r="A39" t="s" s="21">
        <v>39</v>
      </c>
      <c r="B39" t="s" s="16">
        <v>40</v>
      </c>
      <c r="C39" s="10">
        <v>9.24</v>
      </c>
      <c r="D39" t="s" s="11">
        <v>41</v>
      </c>
    </row>
    <row r="40" ht="372" customHeight="1">
      <c r="A40" t="s" s="21">
        <v>62</v>
      </c>
      <c r="B40" t="s" s="16">
        <v>63</v>
      </c>
      <c r="C40" s="10">
        <v>9.82</v>
      </c>
      <c r="D40" t="s" s="11">
        <v>61</v>
      </c>
    </row>
    <row r="41" ht="409.6" customHeight="1">
      <c r="A41" t="s" s="21">
        <v>67</v>
      </c>
      <c r="B41" t="s" s="16">
        <v>68</v>
      </c>
      <c r="C41" s="10">
        <v>44.28</v>
      </c>
      <c r="D41" t="s" s="11">
        <v>69</v>
      </c>
    </row>
    <row r="42" ht="306" customHeight="1">
      <c r="A42" t="s" s="21">
        <v>70</v>
      </c>
      <c r="B42" t="s" s="16">
        <v>71</v>
      </c>
      <c r="C42" s="10">
        <f>10.53+66.8</f>
        <v>77.33</v>
      </c>
      <c r="D42" t="s" s="11">
        <v>72</v>
      </c>
    </row>
    <row r="43" ht="238" customHeight="1">
      <c r="A43" t="s" s="21">
        <v>73</v>
      </c>
      <c r="B43" t="s" s="16">
        <v>74</v>
      </c>
      <c r="C43" s="10">
        <v>77</v>
      </c>
      <c r="D43" t="s" s="11">
        <v>35</v>
      </c>
    </row>
    <row r="44" ht="289" customHeight="1">
      <c r="A44" t="s" s="21">
        <v>75</v>
      </c>
      <c r="B44" t="s" s="16">
        <v>76</v>
      </c>
      <c r="C44" s="10">
        <v>30.75</v>
      </c>
      <c r="D44" t="s" s="11">
        <v>77</v>
      </c>
    </row>
    <row r="45" ht="356" customHeight="1">
      <c r="A45" t="s" s="22">
        <v>56</v>
      </c>
      <c r="B45" t="s" s="16">
        <v>57</v>
      </c>
      <c r="C45" s="10">
        <v>8.199999999999999</v>
      </c>
      <c r="D45" t="s" s="11">
        <v>78</v>
      </c>
    </row>
    <row r="46" ht="272" customHeight="1">
      <c r="A46" t="s" s="23">
        <v>64</v>
      </c>
      <c r="B46" t="s" s="16">
        <v>65</v>
      </c>
      <c r="C46" s="10">
        <v>334.97</v>
      </c>
      <c r="D46" t="s" s="11">
        <v>35</v>
      </c>
    </row>
    <row r="47" ht="255" customHeight="1">
      <c r="A47" t="s" s="23">
        <v>79</v>
      </c>
      <c r="B47" t="s" s="16">
        <v>80</v>
      </c>
      <c r="C47" s="10">
        <v>71.68000000000001</v>
      </c>
      <c r="D47" t="s" s="11">
        <v>81</v>
      </c>
    </row>
    <row r="48" ht="356" customHeight="1">
      <c r="A48" t="s" s="23">
        <v>56</v>
      </c>
      <c r="B48" t="s" s="16">
        <v>57</v>
      </c>
      <c r="C48" s="10">
        <v>11.48</v>
      </c>
      <c r="D48" t="s" s="11">
        <v>78</v>
      </c>
    </row>
    <row r="49" ht="322" customHeight="1">
      <c r="A49" t="s" s="23">
        <v>82</v>
      </c>
      <c r="B49" t="s" s="16">
        <v>83</v>
      </c>
      <c r="C49" s="10">
        <v>31.16</v>
      </c>
      <c r="D49" t="s" s="11">
        <v>84</v>
      </c>
    </row>
    <row r="50" ht="227" customHeight="1">
      <c r="A50" t="s" s="23">
        <v>33</v>
      </c>
      <c r="B50" t="s" s="16">
        <v>34</v>
      </c>
      <c r="C50" s="10">
        <v>69.29000000000001</v>
      </c>
      <c r="D50" t="s" s="11">
        <v>35</v>
      </c>
    </row>
    <row r="51" ht="388" customHeight="1">
      <c r="A51" t="s" s="23">
        <v>36</v>
      </c>
      <c r="B51" t="s" s="16">
        <v>37</v>
      </c>
      <c r="C51" s="10">
        <v>84.7</v>
      </c>
      <c r="D51" t="s" s="11">
        <v>66</v>
      </c>
    </row>
    <row r="52" ht="388" customHeight="1">
      <c r="A52" t="s" s="23">
        <v>39</v>
      </c>
      <c r="B52" t="s" s="16">
        <v>40</v>
      </c>
      <c r="C52" s="10">
        <v>34.88</v>
      </c>
      <c r="D52" t="s" s="11">
        <v>41</v>
      </c>
    </row>
    <row r="53" ht="272" customHeight="1">
      <c r="A53" t="s" s="23">
        <v>85</v>
      </c>
      <c r="B53" t="s" s="16">
        <v>86</v>
      </c>
      <c r="C53" s="10">
        <v>43.81</v>
      </c>
      <c r="D53" t="s" s="11">
        <v>35</v>
      </c>
    </row>
    <row r="54" ht="272" customHeight="1">
      <c r="A54" t="s" s="23">
        <v>87</v>
      </c>
      <c r="B54" t="s" s="16">
        <v>88</v>
      </c>
      <c r="C54" s="10">
        <v>9.609999999999999</v>
      </c>
      <c r="D54" t="s" s="11">
        <v>35</v>
      </c>
    </row>
    <row r="55" ht="409.6" customHeight="1">
      <c r="A55" t="s" s="23">
        <v>89</v>
      </c>
      <c r="B55" t="s" s="16">
        <v>90</v>
      </c>
      <c r="C55" s="10">
        <v>46.04</v>
      </c>
      <c r="D55" t="s" s="11">
        <v>69</v>
      </c>
    </row>
    <row r="56" ht="306" customHeight="1">
      <c r="A56" t="s" s="23">
        <v>70</v>
      </c>
      <c r="B56" t="s" s="16">
        <v>71</v>
      </c>
      <c r="C56" s="10">
        <v>10.8</v>
      </c>
      <c r="D56" t="s" s="11">
        <v>72</v>
      </c>
    </row>
    <row r="57" ht="409.6" customHeight="1">
      <c r="A57" t="s" s="23">
        <v>30</v>
      </c>
      <c r="B57" t="s" s="16">
        <v>31</v>
      </c>
      <c r="C57" s="10">
        <v>11.2</v>
      </c>
      <c r="D57" t="s" s="11">
        <v>32</v>
      </c>
    </row>
    <row r="58" ht="372" customHeight="1">
      <c r="A58" t="s" s="23">
        <v>59</v>
      </c>
      <c r="B58" t="s" s="20">
        <v>60</v>
      </c>
      <c r="C58" s="10">
        <v>101.12</v>
      </c>
      <c r="D58" t="s" s="11">
        <v>61</v>
      </c>
    </row>
    <row r="59" ht="372" customHeight="1">
      <c r="A59" t="s" s="23">
        <v>62</v>
      </c>
      <c r="B59" t="s" s="16">
        <v>63</v>
      </c>
      <c r="C59" s="10">
        <v>42.56</v>
      </c>
      <c r="D59" t="s" s="11">
        <v>61</v>
      </c>
    </row>
    <row r="60" ht="306" customHeight="1">
      <c r="A60" t="s" s="23">
        <v>70</v>
      </c>
      <c r="B60" t="s" s="16">
        <v>71</v>
      </c>
      <c r="C60" s="10">
        <v>69.40000000000001</v>
      </c>
      <c r="D60" t="s" s="11">
        <v>72</v>
      </c>
    </row>
    <row r="61" ht="224" customHeight="1">
      <c r="A61" t="s" s="24">
        <v>33</v>
      </c>
      <c r="B61" t="s" s="16">
        <v>34</v>
      </c>
      <c r="C61" s="10">
        <v>50.38</v>
      </c>
      <c r="D61" t="s" s="11">
        <v>35</v>
      </c>
    </row>
    <row r="62" ht="388" customHeight="1">
      <c r="A62" t="s" s="24">
        <v>36</v>
      </c>
      <c r="B62" t="s" s="16">
        <v>37</v>
      </c>
      <c r="C62" s="10">
        <v>27.3</v>
      </c>
      <c r="D62" t="s" s="11">
        <v>66</v>
      </c>
    </row>
    <row r="63" ht="188" customHeight="1">
      <c r="A63" t="s" s="16">
        <v>91</v>
      </c>
      <c r="B63" t="s" s="16">
        <v>92</v>
      </c>
      <c r="C63" s="10">
        <v>418.08</v>
      </c>
      <c r="D63" t="s" s="11">
        <v>93</v>
      </c>
    </row>
    <row r="64" ht="201" customHeight="1">
      <c r="A64" t="s" s="16">
        <v>94</v>
      </c>
      <c r="B64" t="s" s="16">
        <v>95</v>
      </c>
      <c r="C64" s="10">
        <v>1</v>
      </c>
      <c r="D64" t="s" s="17">
        <v>96</v>
      </c>
    </row>
    <row r="65" ht="34" customHeight="1">
      <c r="A65" t="s" s="16">
        <v>97</v>
      </c>
      <c r="B65" t="s" s="16">
        <v>98</v>
      </c>
      <c r="C65" s="10">
        <v>1</v>
      </c>
      <c r="D65" s="18"/>
    </row>
    <row r="66" ht="34" customHeight="1">
      <c r="A66" s="12"/>
      <c r="B66" s="13"/>
      <c r="C66" s="14"/>
      <c r="D66" s="15"/>
    </row>
    <row r="67" ht="22" customHeight="1">
      <c r="A67" t="s" s="4">
        <v>99</v>
      </c>
      <c r="B67" s="5"/>
      <c r="C67" s="5"/>
      <c r="D67" s="6"/>
    </row>
    <row r="68" ht="19" customHeight="1">
      <c r="A68" t="s" s="7">
        <v>100</v>
      </c>
      <c r="B68" s="8"/>
      <c r="C68" s="8"/>
      <c r="D68" s="8"/>
    </row>
    <row r="69" ht="204" customHeight="1">
      <c r="A69" t="s" s="16">
        <v>101</v>
      </c>
      <c r="B69" t="s" s="16">
        <v>102</v>
      </c>
      <c r="C69" s="10">
        <v>125</v>
      </c>
      <c r="D69" t="s" s="11">
        <v>103</v>
      </c>
    </row>
    <row r="70" ht="196" customHeight="1">
      <c r="A70" t="s" s="25">
        <v>104</v>
      </c>
      <c r="B70" t="s" s="25">
        <v>105</v>
      </c>
      <c r="C70" s="26">
        <f>#REF!+#REF!</f>
      </c>
      <c r="D70" t="s" s="11">
        <v>106</v>
      </c>
    </row>
    <row r="71" ht="255" customHeight="1">
      <c r="A71" s="27"/>
      <c r="B71" s="27"/>
      <c r="C71" s="28"/>
      <c r="D71" t="s" s="11">
        <v>107</v>
      </c>
    </row>
    <row r="72" ht="68" customHeight="1" hidden="1">
      <c r="A72" t="s" s="16">
        <v>108</v>
      </c>
      <c r="B72" t="s" s="16">
        <v>109</v>
      </c>
      <c r="C72" s="10">
        <v>128.3</v>
      </c>
      <c r="D72" s="29"/>
    </row>
    <row r="73" ht="187" customHeight="1" hidden="1">
      <c r="A73" t="s" s="16">
        <v>110</v>
      </c>
      <c r="B73" t="s" s="16">
        <v>111</v>
      </c>
      <c r="C73" s="10">
        <f>176+320</f>
        <v>496</v>
      </c>
      <c r="D73" s="29"/>
    </row>
    <row r="74" ht="19" customHeight="1">
      <c r="A74" t="s" s="7">
        <v>112</v>
      </c>
      <c r="B74" s="8"/>
      <c r="C74" s="8"/>
      <c r="D74" s="8"/>
    </row>
    <row r="75" ht="187" customHeight="1">
      <c r="A75" t="s" s="16">
        <v>113</v>
      </c>
      <c r="B75" t="s" s="16">
        <v>114</v>
      </c>
      <c r="C75" s="10">
        <f>282.98+176</f>
        <v>458.98</v>
      </c>
      <c r="D75" t="s" s="11">
        <v>115</v>
      </c>
    </row>
    <row r="76" ht="19" customHeight="1">
      <c r="A76" t="s" s="7">
        <v>116</v>
      </c>
      <c r="B76" s="8"/>
      <c r="C76" s="8"/>
      <c r="D76" s="8"/>
    </row>
    <row r="77" ht="68" customHeight="1">
      <c r="A77" t="s" s="25">
        <v>117</v>
      </c>
      <c r="B77" t="s" s="25">
        <v>118</v>
      </c>
      <c r="C77" s="30">
        <f>166+971</f>
        <v>1137</v>
      </c>
      <c r="D77" t="s" s="11">
        <v>119</v>
      </c>
    </row>
    <row r="78" ht="51" customHeight="1">
      <c r="A78" s="31"/>
      <c r="B78" s="31"/>
      <c r="C78" s="32"/>
      <c r="D78" t="s" s="11">
        <v>120</v>
      </c>
    </row>
    <row r="79" ht="68" customHeight="1">
      <c r="A79" s="31"/>
      <c r="B79" s="31"/>
      <c r="C79" s="32"/>
      <c r="D79" t="s" s="11">
        <v>121</v>
      </c>
    </row>
    <row r="80" ht="51" customHeight="1">
      <c r="A80" s="27"/>
      <c r="B80" s="27"/>
      <c r="C80" s="33"/>
      <c r="D80" t="s" s="11">
        <v>122</v>
      </c>
    </row>
    <row r="81" ht="19" customHeight="1">
      <c r="A81" t="s" s="7">
        <v>123</v>
      </c>
      <c r="B81" s="8"/>
      <c r="C81" s="8"/>
      <c r="D81" s="8"/>
    </row>
    <row r="82" ht="51" customHeight="1">
      <c r="A82" t="s" s="16">
        <v>124</v>
      </c>
      <c r="B82" t="s" s="16">
        <v>125</v>
      </c>
      <c r="C82" s="10">
        <f>300+130.75+1569.04</f>
        <v>1999.79</v>
      </c>
      <c r="D82" t="s" s="11">
        <v>126</v>
      </c>
    </row>
    <row r="83" ht="107" customHeight="1">
      <c r="A83" t="s" s="16">
        <v>127</v>
      </c>
      <c r="B83" t="s" s="16">
        <v>128</v>
      </c>
      <c r="C83" s="10">
        <f>208.18+269.81+287.63+107.12</f>
        <v>872.74</v>
      </c>
      <c r="D83" t="s" s="11">
        <v>129</v>
      </c>
    </row>
    <row r="84" ht="19" customHeight="1" hidden="1">
      <c r="A84" t="s" s="7">
        <v>130</v>
      </c>
      <c r="B84" s="8"/>
      <c r="C84" s="8"/>
      <c r="D84" s="8"/>
    </row>
    <row r="85" ht="234" customHeight="1" hidden="1">
      <c r="A85" t="s" s="16">
        <v>131</v>
      </c>
      <c r="B85" t="s" s="16">
        <v>132</v>
      </c>
      <c r="C85" s="10">
        <f>6+10+10</f>
        <v>26</v>
      </c>
      <c r="D85" s="29"/>
    </row>
    <row r="86" ht="238" customHeight="1" hidden="1">
      <c r="A86" t="s" s="16">
        <v>133</v>
      </c>
      <c r="B86" t="s" s="16">
        <v>134</v>
      </c>
      <c r="C86" s="10">
        <f>40+66.3</f>
        <v>106.3</v>
      </c>
      <c r="D86" s="29"/>
    </row>
    <row r="87" ht="9" customHeight="1" hidden="1">
      <c r="A87" s="34"/>
      <c r="B87" s="35"/>
      <c r="C87" s="35"/>
      <c r="D87" s="34"/>
    </row>
    <row r="88" ht="19" customHeight="1">
      <c r="A88" s="12"/>
      <c r="B88" s="13"/>
      <c r="C88" s="14"/>
      <c r="D88" s="15"/>
    </row>
    <row r="89" ht="22" customHeight="1">
      <c r="A89" t="s" s="4">
        <v>135</v>
      </c>
      <c r="B89" s="5"/>
      <c r="C89" s="5"/>
      <c r="D89" s="6"/>
    </row>
    <row r="90" ht="68" customHeight="1">
      <c r="A90" t="s" s="16">
        <v>136</v>
      </c>
      <c r="B90" t="s" s="16">
        <v>137</v>
      </c>
      <c r="C90" s="10">
        <f>465.6+402+106.25</f>
        <v>973.85</v>
      </c>
      <c r="D90" t="s" s="11">
        <v>138</v>
      </c>
    </row>
    <row r="91" ht="17" customHeight="1" hidden="1">
      <c r="A91" s="9"/>
      <c r="B91" t="s" s="16">
        <v>139</v>
      </c>
      <c r="C91" s="10"/>
      <c r="D91" s="29"/>
    </row>
    <row r="92" ht="19" customHeight="1">
      <c r="A92" s="12"/>
      <c r="B92" s="13"/>
      <c r="C92" s="14"/>
      <c r="D92" s="15"/>
    </row>
    <row r="93" ht="22" customHeight="1">
      <c r="A93" t="s" s="4">
        <v>140</v>
      </c>
      <c r="B93" s="5"/>
      <c r="C93" s="5"/>
      <c r="D93" s="6"/>
    </row>
    <row r="94" ht="34" customHeight="1">
      <c r="A94" s="9"/>
      <c r="B94" t="s" s="16">
        <v>141</v>
      </c>
      <c r="C94" s="10"/>
      <c r="D94" t="s" s="11">
        <v>142</v>
      </c>
    </row>
    <row r="95" ht="34" customHeight="1">
      <c r="A95" s="9"/>
      <c r="B95" t="s" s="16">
        <v>141</v>
      </c>
      <c r="C95" s="10"/>
      <c r="D95" t="s" s="11">
        <v>143</v>
      </c>
    </row>
    <row r="96" ht="34" customHeight="1">
      <c r="A96" s="9"/>
      <c r="B96" t="s" s="16">
        <v>141</v>
      </c>
      <c r="C96" s="10"/>
      <c r="D96" t="s" s="11">
        <v>144</v>
      </c>
    </row>
    <row r="97" ht="34" customHeight="1">
      <c r="A97" t="s" s="16">
        <v>145</v>
      </c>
      <c r="B97" t="s" s="16">
        <v>146</v>
      </c>
      <c r="C97" s="10">
        <v>1</v>
      </c>
      <c r="D97" t="s" s="11">
        <v>147</v>
      </c>
    </row>
    <row r="98" ht="19" customHeight="1">
      <c r="A98" s="12"/>
      <c r="B98" s="13"/>
      <c r="C98" s="14"/>
      <c r="D98" s="15"/>
    </row>
    <row r="99" ht="19" customHeight="1">
      <c r="A99" s="12"/>
      <c r="B99" s="13"/>
      <c r="C99" s="14"/>
      <c r="D99" s="15"/>
    </row>
    <row r="100" ht="17" customHeight="1">
      <c r="A100" s="34"/>
      <c r="B100" s="35"/>
      <c r="C100" s="35"/>
      <c r="D100" s="34"/>
    </row>
    <row r="101" ht="19" customHeight="1">
      <c r="A101" s="36"/>
      <c r="B101" s="37"/>
      <c r="C101" s="38"/>
      <c r="D101" s="39"/>
    </row>
    <row r="102" ht="24" customHeight="1">
      <c r="A102" s="40"/>
      <c r="B102" s="41"/>
      <c r="C102" s="41"/>
      <c r="D102" s="40"/>
    </row>
  </sheetData>
  <mergeCells count="20">
    <mergeCell ref="A74:D74"/>
    <mergeCell ref="A81:D81"/>
    <mergeCell ref="A76:D76"/>
    <mergeCell ref="A84:D84"/>
    <mergeCell ref="A77:A80"/>
    <mergeCell ref="B77:B80"/>
    <mergeCell ref="C77:C80"/>
    <mergeCell ref="B70:B71"/>
    <mergeCell ref="A70:A71"/>
    <mergeCell ref="A3:D3"/>
    <mergeCell ref="A5:D5"/>
    <mergeCell ref="A9:D9"/>
    <mergeCell ref="A15:D15"/>
    <mergeCell ref="A18:D18"/>
    <mergeCell ref="A11:D11"/>
    <mergeCell ref="A22:D22"/>
    <mergeCell ref="A68:D68"/>
    <mergeCell ref="D64:D65"/>
    <mergeCell ref="D16:D17"/>
    <mergeCell ref="C70:C71"/>
  </mergeCells>
  <pageMargins left="0.25" right="0.25"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