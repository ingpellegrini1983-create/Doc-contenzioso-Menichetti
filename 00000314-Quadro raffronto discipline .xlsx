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quadro raffronto EDILE" sheetId="2" r:id="rId5"/>
    <sheet name="quadro raffronto SICUREZZA" sheetId="3" r:id="rId6"/>
    <sheet name="RIEPILOGO" sheetId="4" r:id="rId7"/>
  </sheets>
</workbook>
</file>

<file path=xl/sharedStrings.xml><?xml version="1.0" encoding="utf-8"?>
<sst xmlns="http://schemas.openxmlformats.org/spreadsheetml/2006/main" uniqueCount="45">
  <si>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</si>
  <si>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</si>
  <si>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</si>
  <si>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</si>
  <si>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quadro raffronto EDILE</t>
  </si>
  <si>
    <t>Tabella 1</t>
  </si>
  <si>
    <t>QUADRO DI RAFFRONTO OPERE EDILI</t>
  </si>
  <si>
    <t>OPERE EDILI</t>
  </si>
  <si>
    <t>PFTE</t>
  </si>
  <si>
    <t>PROGETTO ESECUTIVO</t>
  </si>
  <si>
    <t>Murature, contropareti, pareti, rivestimenti</t>
  </si>
  <si>
    <t xml:space="preserve">Piano interrato </t>
  </si>
  <si>
    <t>Piano terra</t>
  </si>
  <si>
    <t xml:space="preserve">Piano primo </t>
  </si>
  <si>
    <t xml:space="preserve">Piano secondo </t>
  </si>
  <si>
    <t>Totale</t>
  </si>
  <si>
    <t xml:space="preserve">Massetti e pavimentazioni </t>
  </si>
  <si>
    <t>Copertura</t>
  </si>
  <si>
    <t>Impermeabilizzazione e simili</t>
  </si>
  <si>
    <t>Finiture</t>
  </si>
  <si>
    <t xml:space="preserve">Dispositivo anticaduta </t>
  </si>
  <si>
    <t xml:space="preserve">Comuni </t>
  </si>
  <si>
    <t xml:space="preserve">Infissi esterni </t>
  </si>
  <si>
    <t xml:space="preserve">Infissi interni </t>
  </si>
  <si>
    <t xml:space="preserve">Ascensore </t>
  </si>
  <si>
    <t xml:space="preserve">TOTALE </t>
  </si>
  <si>
    <t>quadro raffronto SICUREZZA</t>
  </si>
  <si>
    <t xml:space="preserve">Opere provvisionali </t>
  </si>
  <si>
    <t>Protezione di scavi</t>
  </si>
  <si>
    <t xml:space="preserve">Prodotti per mezzi e servizi di protezione collettiva </t>
  </si>
  <si>
    <t xml:space="preserve">Recinzioni e accessi di cantiere </t>
  </si>
  <si>
    <t xml:space="preserve">Box prefabbricati </t>
  </si>
  <si>
    <t>Impianto di messa a terra</t>
  </si>
  <si>
    <t xml:space="preserve">Delimitazione aree a rischio </t>
  </si>
  <si>
    <t>-</t>
  </si>
  <si>
    <t xml:space="preserve">Preparazione della viabilità di cantiere </t>
  </si>
  <si>
    <t>TOTALE</t>
  </si>
  <si>
    <t>RIEPILOGO</t>
  </si>
  <si>
    <t>QUADRO DI RAFFRONTO</t>
  </si>
  <si>
    <t xml:space="preserve">DIACIPLINA </t>
  </si>
  <si>
    <t xml:space="preserve">Opere Architettoniche </t>
  </si>
  <si>
    <t xml:space="preserve">Opere Strutturali </t>
  </si>
  <si>
    <t xml:space="preserve">Impianti Elettrici </t>
  </si>
  <si>
    <t xml:space="preserve">Impianti Meccanici </t>
  </si>
  <si>
    <t xml:space="preserve">Sicurezza </t>
  </si>
</sst>
</file>

<file path=xl/styles.xml><?xml version="1.0" encoding="utf-8"?>
<styleSheet xmlns="http://schemas.openxmlformats.org/spreadsheetml/2006/main">
  <numFmts count="2">
    <numFmt numFmtId="0" formatCode="General"/>
    <numFmt numFmtId="59" formatCode="[$€-2] #,##0.00"/>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horizontal="center" vertical="top" wrapText="1"/>
    </xf>
    <xf numFmtId="0" fontId="4" fillId="5" borderId="1" applyNumberFormat="0" applyFont="1" applyFill="1" applyBorder="1" applyAlignment="1" applyProtection="0">
      <alignment vertical="top" wrapText="1"/>
    </xf>
    <xf numFmtId="49" fontId="4" fillId="6" borderId="2" applyNumberFormat="1" applyFont="1" applyFill="1" applyBorder="1" applyAlignment="1" applyProtection="0">
      <alignment horizontal="center" vertical="center" wrapText="1"/>
    </xf>
    <xf numFmtId="49" fontId="4" fillId="6" borderId="3" applyNumberFormat="1" applyFont="1" applyFill="1" applyBorder="1" applyAlignment="1" applyProtection="0">
      <alignment horizontal="center" vertical="center" wrapText="1"/>
    </xf>
    <xf numFmtId="49" fontId="4" fillId="6" borderId="4" applyNumberFormat="1" applyFont="1" applyFill="1" applyBorder="1" applyAlignment="1" applyProtection="0">
      <alignment horizontal="center" vertical="center" wrapText="1"/>
    </xf>
    <xf numFmtId="49" fontId="4" fillId="7" borderId="5" applyNumberFormat="1" applyFont="1" applyFill="1" applyBorder="1" applyAlignment="1" applyProtection="0">
      <alignment vertical="top" wrapText="1"/>
    </xf>
    <xf numFmtId="59" fontId="0" fillId="7" borderId="6" applyNumberFormat="1" applyFont="1" applyFill="1" applyBorder="1" applyAlignment="1" applyProtection="0">
      <alignment vertical="top" wrapText="1"/>
    </xf>
    <xf numFmtId="59" fontId="0" fillId="7" borderId="7" applyNumberFormat="1" applyFont="1" applyFill="1" applyBorder="1" applyAlignment="1" applyProtection="0">
      <alignment vertical="top" wrapText="1"/>
    </xf>
    <xf numFmtId="49" fontId="0" borderId="5" applyNumberFormat="1" applyFont="1" applyFill="0" applyBorder="1" applyAlignment="1" applyProtection="0">
      <alignment vertical="top" wrapText="1"/>
    </xf>
    <xf numFmtId="59" fontId="0" borderId="6"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49" fontId="4" borderId="5" applyNumberFormat="1" applyFont="1" applyFill="0" applyBorder="1" applyAlignment="1" applyProtection="0">
      <alignment horizontal="right" vertical="top" wrapText="1"/>
    </xf>
    <xf numFmtId="59" fontId="4" borderId="6" applyNumberFormat="1" applyFont="1" applyFill="0" applyBorder="1" applyAlignment="1" applyProtection="0">
      <alignment vertical="top" wrapText="1"/>
    </xf>
    <xf numFmtId="59" fontId="4"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0" borderId="7" applyNumberFormat="1" applyFont="1" applyFill="0" applyBorder="1" applyAlignment="1" applyProtection="0">
      <alignment horizontal="right" vertical="top" wrapText="1"/>
    </xf>
    <xf numFmtId="0" fontId="0" applyNumberFormat="1" applyFont="1" applyFill="0" applyBorder="0" applyAlignment="1" applyProtection="0">
      <alignment vertical="top" wrapText="1"/>
    </xf>
    <xf numFmtId="49" fontId="4" borderId="5"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8daba"/>
      <rgbColor rgb="ffa5a5a5"/>
      <rgbColor rgb="ff3f3f3f"/>
      <rgbColor rgb="ffbdc0bf"/>
      <rgbColor rgb="ffdbeddc"/>
      <rgbColor rgb="fff4f9f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26</v>
      </c>
      <c r="C11" s="3"/>
      <c r="D11" s="3"/>
    </row>
    <row r="12">
      <c r="B12" s="4"/>
      <c r="C12" t="s" s="4">
        <v>5</v>
      </c>
      <c r="D12" t="s" s="5">
        <v>26</v>
      </c>
    </row>
    <row r="13">
      <c r="B13" t="s" s="3">
        <v>37</v>
      </c>
      <c r="C13" s="3"/>
      <c r="D13" s="3"/>
    </row>
    <row r="14">
      <c r="B14" s="4"/>
      <c r="C14" t="s" s="4">
        <v>5</v>
      </c>
      <c r="D14" t="s" s="5">
        <v>37</v>
      </c>
    </row>
  </sheetData>
  <mergeCells count="1">
    <mergeCell ref="B3:D3"/>
  </mergeCells>
  <hyperlinks>
    <hyperlink ref="D10" location="'quadro raffronto EDILE'!R1C1" tooltip="" display="quadro raffronto EDILE"/>
    <hyperlink ref="D12" location="'quadro raffronto SICUREZZA'!R1C1" tooltip="" display="quadro raffronto SICUREZZA"/>
    <hyperlink ref="D14" location="'RIEPILOGO'!R1C1" tooltip="" display="RIEPILOGO"/>
  </hyperlinks>
</worksheet>
</file>

<file path=xl/worksheets/sheet2.xml><?xml version="1.0" encoding="utf-8"?>
<worksheet xmlns:r="http://schemas.openxmlformats.org/officeDocument/2006/relationships" xmlns="http://schemas.openxmlformats.org/spreadsheetml/2006/main">
  <dimension ref="A1:C41"/>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3.7422" style="6" customWidth="1"/>
    <col min="2" max="2" width="16.3516" style="6" customWidth="1"/>
    <col min="3" max="3" width="22.0312" style="6" customWidth="1"/>
    <col min="4" max="16384" width="16.3516" style="6" customWidth="1"/>
  </cols>
  <sheetData>
    <row r="1" ht="20.25" customHeight="1">
      <c r="A1" t="s" s="7">
        <v>6</v>
      </c>
      <c r="B1" s="8"/>
      <c r="C1" s="8"/>
    </row>
    <row r="2" ht="20.25" customHeight="1">
      <c r="A2" t="s" s="9">
        <v>7</v>
      </c>
      <c r="B2" t="s" s="10">
        <v>8</v>
      </c>
      <c r="C2" t="s" s="11">
        <v>9</v>
      </c>
    </row>
    <row r="3" ht="32.05" customHeight="1">
      <c r="A3" t="s" s="12">
        <v>10</v>
      </c>
      <c r="B3" s="13"/>
      <c r="C3" s="14"/>
    </row>
    <row r="4" ht="20.05" customHeight="1">
      <c r="A4" t="s" s="15">
        <v>11</v>
      </c>
      <c r="B4" s="16">
        <v>99769.399999999994</v>
      </c>
      <c r="C4" s="17">
        <v>113462.05</v>
      </c>
    </row>
    <row r="5" ht="20.05" customHeight="1">
      <c r="A5" t="s" s="15">
        <v>12</v>
      </c>
      <c r="B5" s="16">
        <v>57310.88</v>
      </c>
      <c r="C5" s="17">
        <v>120797.02</v>
      </c>
    </row>
    <row r="6" ht="20.05" customHeight="1">
      <c r="A6" t="s" s="15">
        <v>13</v>
      </c>
      <c r="B6" s="16">
        <v>151082.87</v>
      </c>
      <c r="C6" s="17">
        <v>202711.08</v>
      </c>
    </row>
    <row r="7" ht="20.05" customHeight="1">
      <c r="A7" t="s" s="15">
        <v>14</v>
      </c>
      <c r="B7" s="16">
        <v>6373.64</v>
      </c>
      <c r="C7" s="17">
        <v>17857.79</v>
      </c>
    </row>
    <row r="8" ht="20.05" customHeight="1">
      <c r="A8" t="s" s="18">
        <v>15</v>
      </c>
      <c r="B8" s="19">
        <f>B4+B5+B6+B7</f>
        <v>314536.79</v>
      </c>
      <c r="C8" s="20">
        <f>C4+C5+C6+C7</f>
        <v>454827.94</v>
      </c>
    </row>
    <row r="9" ht="20.05" customHeight="1">
      <c r="A9" t="s" s="12">
        <v>16</v>
      </c>
      <c r="B9" s="13"/>
      <c r="C9" s="14"/>
    </row>
    <row r="10" ht="20.05" customHeight="1">
      <c r="A10" t="s" s="15">
        <v>11</v>
      </c>
      <c r="B10" s="16">
        <v>121690.36</v>
      </c>
      <c r="C10" s="17">
        <v>117623.23</v>
      </c>
    </row>
    <row r="11" ht="20.05" customHeight="1">
      <c r="A11" t="s" s="15">
        <v>12</v>
      </c>
      <c r="B11" s="16">
        <v>106631.26</v>
      </c>
      <c r="C11" s="17">
        <v>105132.37</v>
      </c>
    </row>
    <row r="12" ht="20.05" customHeight="1">
      <c r="A12" t="s" s="15">
        <v>13</v>
      </c>
      <c r="B12" s="16">
        <v>177982.57</v>
      </c>
      <c r="C12" s="17">
        <v>177982.57</v>
      </c>
    </row>
    <row r="13" ht="20.05" customHeight="1">
      <c r="A13" t="s" s="15">
        <v>17</v>
      </c>
      <c r="B13" s="16">
        <v>37237.2</v>
      </c>
      <c r="C13" s="17">
        <v>37237.2</v>
      </c>
    </row>
    <row r="14" ht="20.05" customHeight="1">
      <c r="A14" t="s" s="18">
        <v>15</v>
      </c>
      <c r="B14" s="19">
        <f>B10+B11+B12+B13</f>
        <v>443541.39</v>
      </c>
      <c r="C14" s="20">
        <f>C10+C11+C12+C13</f>
        <v>437975.37</v>
      </c>
    </row>
    <row r="15" ht="32.05" customHeight="1">
      <c r="A15" t="s" s="12">
        <v>18</v>
      </c>
      <c r="B15" s="13"/>
      <c r="C15" s="14"/>
    </row>
    <row r="16" ht="20.05" customHeight="1">
      <c r="A16" t="s" s="15">
        <v>11</v>
      </c>
      <c r="B16" s="16">
        <v>19557.95</v>
      </c>
      <c r="C16" s="17">
        <v>19418.65</v>
      </c>
    </row>
    <row r="17" ht="20.05" customHeight="1">
      <c r="A17" t="s" s="15">
        <v>17</v>
      </c>
      <c r="B17" s="16">
        <v>96928.3</v>
      </c>
      <c r="C17" s="17">
        <v>96928.3</v>
      </c>
    </row>
    <row r="18" ht="20.05" customHeight="1">
      <c r="A18" t="s" s="18">
        <v>15</v>
      </c>
      <c r="B18" s="19">
        <f>B16+B17</f>
        <v>116486.25</v>
      </c>
      <c r="C18" s="20">
        <f>C16+C17</f>
        <v>116346.95</v>
      </c>
    </row>
    <row r="19" ht="20.05" customHeight="1">
      <c r="A19" t="s" s="12">
        <v>19</v>
      </c>
      <c r="B19" s="13"/>
      <c r="C19" s="14"/>
    </row>
    <row r="20" ht="20.05" customHeight="1">
      <c r="A20" t="s" s="15">
        <v>20</v>
      </c>
      <c r="B20" s="16">
        <v>5758.84</v>
      </c>
      <c r="C20" s="17">
        <v>5758.84</v>
      </c>
    </row>
    <row r="21" ht="20.05" customHeight="1">
      <c r="A21" t="s" s="15">
        <v>11</v>
      </c>
      <c r="B21" s="16">
        <v>4820.9</v>
      </c>
      <c r="C21" s="17">
        <v>16983.16</v>
      </c>
    </row>
    <row r="22" ht="20.05" customHeight="1">
      <c r="A22" t="s" s="15">
        <v>12</v>
      </c>
      <c r="B22" s="16">
        <v>53953.53</v>
      </c>
      <c r="C22" s="17">
        <v>79809.12</v>
      </c>
    </row>
    <row r="23" ht="20.05" customHeight="1">
      <c r="A23" t="s" s="15">
        <v>13</v>
      </c>
      <c r="B23" s="16">
        <v>123280.68</v>
      </c>
      <c r="C23" s="17">
        <v>100710.2</v>
      </c>
    </row>
    <row r="24" ht="20.05" customHeight="1">
      <c r="A24" t="s" s="15">
        <v>14</v>
      </c>
      <c r="B24" s="16">
        <v>1488.97</v>
      </c>
      <c r="C24" s="17">
        <v>1488.97</v>
      </c>
    </row>
    <row r="25" ht="20.05" customHeight="1">
      <c r="A25" t="s" s="15">
        <v>17</v>
      </c>
      <c r="B25" s="16">
        <v>47103.83</v>
      </c>
      <c r="C25" s="17">
        <v>47103.83</v>
      </c>
    </row>
    <row r="26" ht="20.05" customHeight="1">
      <c r="A26" t="s" s="15">
        <v>21</v>
      </c>
      <c r="B26" s="16">
        <v>103455.6</v>
      </c>
      <c r="C26" s="17">
        <v>103455.6</v>
      </c>
    </row>
    <row r="27" ht="20.05" customHeight="1">
      <c r="A27" t="s" s="18">
        <v>15</v>
      </c>
      <c r="B27" s="19">
        <f>B20+B21+B22+B23+B24+B25+B26</f>
        <v>339862.35</v>
      </c>
      <c r="C27" s="20">
        <f>C20+C21+C22+C23+C24+C25+C26</f>
        <v>355309.72</v>
      </c>
    </row>
    <row r="28" ht="20.05" customHeight="1">
      <c r="A28" t="s" s="12">
        <v>22</v>
      </c>
      <c r="B28" s="13"/>
      <c r="C28" s="14"/>
    </row>
    <row r="29" ht="20.05" customHeight="1">
      <c r="A29" t="s" s="15">
        <v>11</v>
      </c>
      <c r="B29" s="16">
        <v>17461.23</v>
      </c>
      <c r="C29" s="17">
        <v>17144.44</v>
      </c>
    </row>
    <row r="30" ht="20.05" customHeight="1">
      <c r="A30" t="s" s="15">
        <v>21</v>
      </c>
      <c r="B30" s="16">
        <v>716115.41</v>
      </c>
      <c r="C30" s="17">
        <v>716115.42</v>
      </c>
    </row>
    <row r="31" ht="20.05" customHeight="1">
      <c r="A31" t="s" s="18">
        <v>15</v>
      </c>
      <c r="B31" s="19">
        <f>B29+B30</f>
        <v>733576.64</v>
      </c>
      <c r="C31" s="20">
        <f>C30+C29</f>
        <v>733259.86</v>
      </c>
    </row>
    <row r="32" ht="20.05" customHeight="1">
      <c r="A32" t="s" s="12">
        <v>23</v>
      </c>
      <c r="B32" s="13"/>
      <c r="C32" s="14"/>
    </row>
    <row r="33" ht="20.05" customHeight="1">
      <c r="A33" t="s" s="15">
        <v>11</v>
      </c>
      <c r="B33" s="16">
        <v>20534.81</v>
      </c>
      <c r="C33" s="17">
        <v>24697.12</v>
      </c>
    </row>
    <row r="34" ht="20.05" customHeight="1">
      <c r="A34" t="s" s="15">
        <v>12</v>
      </c>
      <c r="B34" s="16">
        <v>12076.81</v>
      </c>
      <c r="C34" s="17">
        <v>21983.38</v>
      </c>
    </row>
    <row r="35" ht="20.05" customHeight="1">
      <c r="A35" t="s" s="15">
        <v>13</v>
      </c>
      <c r="B35" s="16">
        <v>14373.65</v>
      </c>
      <c r="C35" s="17">
        <v>14073.12</v>
      </c>
    </row>
    <row r="36" ht="20.05" customHeight="1">
      <c r="A36" t="s" s="15">
        <v>14</v>
      </c>
      <c r="B36" s="16"/>
      <c r="C36" s="17">
        <v>1187.37</v>
      </c>
    </row>
    <row r="37" ht="20.05" customHeight="1">
      <c r="A37" t="s" s="15">
        <v>21</v>
      </c>
      <c r="B37" s="16">
        <v>100566.85</v>
      </c>
      <c r="C37" s="17">
        <v>100808.73</v>
      </c>
    </row>
    <row r="38" ht="20.05" customHeight="1">
      <c r="A38" t="s" s="18">
        <v>15</v>
      </c>
      <c r="B38" s="19">
        <f>B33+B34+B35+B37</f>
        <v>147552.12</v>
      </c>
      <c r="C38" s="20">
        <f>C33+C34+C35+C36+C37</f>
        <v>162749.72</v>
      </c>
    </row>
    <row r="39" ht="20.05" customHeight="1">
      <c r="A39" t="s" s="12">
        <v>24</v>
      </c>
      <c r="B39" s="13"/>
      <c r="C39" s="14"/>
    </row>
    <row r="40" ht="20.05" customHeight="1">
      <c r="A40" t="s" s="15">
        <v>24</v>
      </c>
      <c r="B40" s="19">
        <v>44318.99</v>
      </c>
      <c r="C40" s="20">
        <v>44318.99</v>
      </c>
    </row>
    <row r="41" ht="20.05" customHeight="1">
      <c r="A41" t="s" s="18">
        <v>25</v>
      </c>
      <c r="B41" s="19">
        <f>B8+B14+B18+B27+B31+B38+B39</f>
        <v>2095555.54</v>
      </c>
      <c r="C41" s="20">
        <f>C8+C14+C18+C27+C31+C38+C39</f>
        <v>2260469.56</v>
      </c>
    </row>
  </sheetData>
  <mergeCells count="1">
    <mergeCell ref="A1:C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C19"/>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3.7422" style="21" customWidth="1"/>
    <col min="2" max="2" width="16.3516" style="21" customWidth="1"/>
    <col min="3" max="3" width="22.0312" style="21" customWidth="1"/>
    <col min="4" max="16384" width="16.3516" style="21" customWidth="1"/>
  </cols>
  <sheetData>
    <row r="1" ht="20.25" customHeight="1">
      <c r="A1" t="s" s="7">
        <v>6</v>
      </c>
      <c r="B1" s="8"/>
      <c r="C1" s="8"/>
    </row>
    <row r="2" ht="20.25" customHeight="1">
      <c r="A2" t="s" s="9">
        <v>7</v>
      </c>
      <c r="B2" t="s" s="10">
        <v>8</v>
      </c>
      <c r="C2" t="s" s="11">
        <v>9</v>
      </c>
    </row>
    <row r="3" ht="20.05" customHeight="1">
      <c r="A3" t="s" s="12">
        <v>27</v>
      </c>
      <c r="B3" s="13"/>
      <c r="C3" s="14"/>
    </row>
    <row r="4" ht="20.05" customHeight="1">
      <c r="A4" t="s" s="18">
        <v>15</v>
      </c>
      <c r="B4" s="19">
        <f>52758.89+35952.67+21956.7</f>
        <v>110668.26</v>
      </c>
      <c r="C4" s="20">
        <v>110896.43</v>
      </c>
    </row>
    <row r="5" ht="20.05" customHeight="1">
      <c r="A5" t="s" s="12">
        <v>28</v>
      </c>
      <c r="B5" s="13"/>
      <c r="C5" s="14"/>
    </row>
    <row r="6" ht="20.05" customHeight="1">
      <c r="A6" t="s" s="18">
        <v>15</v>
      </c>
      <c r="B6" s="19">
        <f>3818.24+1513+3287.38</f>
        <v>8618.620000000001</v>
      </c>
      <c r="C6" s="20">
        <v>10587.19</v>
      </c>
    </row>
    <row r="7" ht="32.05" customHeight="1">
      <c r="A7" t="s" s="12">
        <v>29</v>
      </c>
      <c r="B7" s="13"/>
      <c r="C7" s="14"/>
    </row>
    <row r="8" ht="20.05" customHeight="1">
      <c r="A8" t="s" s="18">
        <v>15</v>
      </c>
      <c r="B8" s="19">
        <f>435+107.88+147.51+1008.7</f>
        <v>1699.09</v>
      </c>
      <c r="C8" s="20">
        <v>2436.09</v>
      </c>
    </row>
    <row r="9" ht="32.05" customHeight="1">
      <c r="A9" t="s" s="12">
        <v>30</v>
      </c>
      <c r="B9" s="13"/>
      <c r="C9" s="14"/>
    </row>
    <row r="10" ht="20.05" customHeight="1">
      <c r="A10" t="s" s="18">
        <v>15</v>
      </c>
      <c r="B10" s="19">
        <f>2879.29+1184.76+706.25</f>
        <v>4770.3</v>
      </c>
      <c r="C10" s="20">
        <v>12832.17</v>
      </c>
    </row>
    <row r="11" ht="20.05" customHeight="1">
      <c r="A11" t="s" s="12">
        <v>31</v>
      </c>
      <c r="B11" s="13"/>
      <c r="C11" s="14"/>
    </row>
    <row r="12" ht="20.05" customHeight="1">
      <c r="A12" t="s" s="18">
        <v>15</v>
      </c>
      <c r="B12" s="19">
        <f>2605.82+1302.91+445.44</f>
        <v>4354.17</v>
      </c>
      <c r="C12" s="20">
        <v>7364.42</v>
      </c>
    </row>
    <row r="13" ht="20.05" customHeight="1">
      <c r="A13" t="s" s="12">
        <v>32</v>
      </c>
      <c r="B13" s="13"/>
      <c r="C13" s="14"/>
    </row>
    <row r="14" ht="20.05" customHeight="1">
      <c r="A14" t="s" s="18">
        <v>15</v>
      </c>
      <c r="B14" s="19">
        <v>160.17</v>
      </c>
      <c r="C14" s="20">
        <v>579.04</v>
      </c>
    </row>
    <row r="15" ht="20.05" customHeight="1">
      <c r="A15" t="s" s="12">
        <v>33</v>
      </c>
      <c r="B15" s="13"/>
      <c r="C15" s="14"/>
    </row>
    <row r="16" ht="20.05" customHeight="1">
      <c r="A16" t="s" s="18">
        <v>15</v>
      </c>
      <c r="B16" s="19">
        <f>1516.12+575.2+221.12</f>
        <v>2312.44</v>
      </c>
      <c r="C16" t="s" s="22">
        <v>34</v>
      </c>
    </row>
    <row r="17" ht="32.05" customHeight="1">
      <c r="A17" t="s" s="12">
        <v>35</v>
      </c>
      <c r="B17" s="13"/>
      <c r="C17" s="14"/>
    </row>
    <row r="18" ht="20.05" customHeight="1">
      <c r="A18" t="s" s="18">
        <v>15</v>
      </c>
      <c r="B18" s="19">
        <f>691.36+4754.08</f>
        <v>5445.44</v>
      </c>
      <c r="C18" s="20">
        <v>3813.48</v>
      </c>
    </row>
    <row r="19" ht="20.05" customHeight="1">
      <c r="A19" t="s" s="18">
        <v>36</v>
      </c>
      <c r="B19" s="19">
        <f>B4+B6+B8+B10+B12+B14+B16+B18</f>
        <v>138028.49</v>
      </c>
      <c r="C19" s="20">
        <f>C4+C6+C8+C10+C12+C14+C18</f>
        <v>148508.82</v>
      </c>
    </row>
  </sheetData>
  <mergeCells count="1">
    <mergeCell ref="A1:C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C7"/>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3.7422" style="23" customWidth="1"/>
    <col min="2" max="2" width="16.3516" style="23" customWidth="1"/>
    <col min="3" max="3" width="22.0312" style="23" customWidth="1"/>
    <col min="4" max="16384" width="16.3516" style="23" customWidth="1"/>
  </cols>
  <sheetData>
    <row r="1" ht="20.25" customHeight="1">
      <c r="A1" t="s" s="7">
        <v>38</v>
      </c>
      <c r="B1" s="8"/>
      <c r="C1" s="8"/>
    </row>
    <row r="2" ht="20.25" customHeight="1">
      <c r="A2" t="s" s="9">
        <v>39</v>
      </c>
      <c r="B2" t="s" s="10">
        <v>8</v>
      </c>
      <c r="C2" t="s" s="11">
        <v>9</v>
      </c>
    </row>
    <row r="3" ht="20.05" customHeight="1">
      <c r="A3" t="s" s="24">
        <v>40</v>
      </c>
      <c r="B3" s="16">
        <v>2139874.53</v>
      </c>
      <c r="C3" s="17">
        <v>2300948.54</v>
      </c>
    </row>
    <row r="4" ht="20.05" customHeight="1">
      <c r="A4" t="s" s="24">
        <v>41</v>
      </c>
      <c r="B4" s="16"/>
      <c r="C4" s="17"/>
    </row>
    <row r="5" ht="20.05" customHeight="1">
      <c r="A5" t="s" s="24">
        <v>42</v>
      </c>
      <c r="B5" s="16"/>
      <c r="C5" s="17"/>
    </row>
    <row r="6" ht="20.05" customHeight="1">
      <c r="A6" t="s" s="24">
        <v>43</v>
      </c>
      <c r="B6" s="16"/>
      <c r="C6" s="17"/>
    </row>
    <row r="7" ht="20.05" customHeight="1">
      <c r="A7" t="s" s="24">
        <v>44</v>
      </c>
      <c r="B7" s="16">
        <v>138028.49</v>
      </c>
      <c r="C7" s="17">
        <v>148508.82</v>
      </c>
    </row>
  </sheetData>
  <mergeCells count="1">
    <mergeCell ref="A1:C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